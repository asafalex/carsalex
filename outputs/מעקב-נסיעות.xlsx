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ae0675513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מעקב נסיעות" sheetId="1" r:id="Rb42a78313b184805"/>
    <x:sheet xmlns:r="http://schemas.openxmlformats.org/officeDocument/2006/relationships" name="בדיקת סעיפים" sheetId="2" r:id="Rcbdadcb8dbce44dd"/>
    <x:sheet xmlns:r="http://schemas.openxmlformats.org/officeDocument/2006/relationships" name="טיסות וניהול הזמנה" sheetId="3" r:id="Rc3240b2ea79d4bcd"/>
    <x:sheet xmlns:r="http://schemas.openxmlformats.org/officeDocument/2006/relationships" name="מקורות" sheetId="4" r:id="Raca9f027cb44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c122155564129" /><Relationship Type="http://schemas.openxmlformats.org/officeDocument/2006/relationships/theme" Target="/xl/theme/theme1.xml" Id="R96bf83e5961c424a" /><Relationship Type="http://schemas.openxmlformats.org/officeDocument/2006/relationships/sharedStrings" Target="/xl/sharedStrings.xml" Id="R777297131bc34809" /><Relationship Type="http://schemas.openxmlformats.org/officeDocument/2006/relationships/worksheet" Target="/xl/worksheets/sheet1.xml" Id="Rb42a78313b184805" /><Relationship Type="http://schemas.openxmlformats.org/officeDocument/2006/relationships/worksheet" Target="/xl/worksheets/sheet2.xml" Id="Rcbdadcb8dbce44dd" /><Relationship Type="http://schemas.openxmlformats.org/officeDocument/2006/relationships/worksheet" Target="/xl/worksheets/sheet3.xml" Id="Rc3240b2ea79d4bcd" /><Relationship Type="http://schemas.openxmlformats.org/officeDocument/2006/relationships/worksheet" Target="/xl/worksheets/sheet4.xml" Id="Raca9f027cb4444f4" /></Relationships>
</file>

<file path=xl/tables/table1.xml><?xml version="1.0" encoding="utf-8"?>
<x:table xmlns:x="http://schemas.openxmlformats.org/spreadsheetml/2006/main" id="1" name="TripChecklist" displayName="TripChecklist" ref="A5:O11" headerRowCount="1" totalsRowCount="0" totalsRowShown="0">
  <x:tableColumns count="15">
    <x:tableColumn id="1" name="נסיעה"/>
    <x:tableColumn id="2" name="עבור מי"/>
    <x:tableColumn id="3" name="יציאה"/>
    <x:tableColumn id="4" name="חזרה"/>
    <x:tableColumn id="5" name="מונית לשדה בישראל"/>
    <x:tableColumn id="6" name="טיסה ליעד"/>
    <x:tableColumn id="7" name="מונית למלון"/>
    <x:tableColumn id="8" name="מלון"/>
    <x:tableColumn id="9" name="כרטיס לכנס"/>
    <x:tableColumn id="10" name="כרטיסים לאירועים"/>
    <x:tableColumn id="11" name="מונית לשדה בחו״ל"/>
    <x:tableColumn id="12" name="טיסה חזרה"/>
    <x:tableColumn id="13" name="ביטוח"/>
    <x:tableColumn id="14" name="ארוחות"/>
    <x:tableColumn id="15" name="סעיפים לטיפו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ipItems" displayName="TripItems" ref="A1:H61" headerRowCount="1" totalsRowCount="0" totalsRowShown="0">
  <x:tableColumns count="8">
    <x:tableColumn id="1" name="נסיעה"/>
    <x:tableColumn id="2" name="עבור מי"/>
    <x:tableColumn id="3" name="סעיף"/>
    <x:tableColumn id="4" name="מצב"/>
    <x:tableColumn id="5" name="פרטים וממצאים"/>
    <x:tableColumn id="6" name="מקור"/>
    <x:tableColumn id="7" name="פעולה הבאה"/>
    <x:tableColumn id="8" name="אישור / עדכון שלך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ightBookings" displayName="FlightBookings" ref="A1:Q15" headerRowCount="1" totalsRowCount="0" totalsRowShown="0">
  <x:tableColumns count="17">
    <x:tableColumn id="1" name="נוסע/ים"/>
    <x:tableColumn id="2" name="נסיעה"/>
    <x:tableColumn id="3" name="מספר טיסה"/>
    <x:tableColumn id="4" name="תאריך המראה"/>
    <x:tableColumn id="5" name="מוצא"/>
    <x:tableColumn id="6" name="שעת המראה"/>
    <x:tableColumn id="7" name="תאריך נחיתה"/>
    <x:tableColumn id="8" name="יעד"/>
    <x:tableColumn id="9" name="שעת נחיתה"/>
    <x:tableColumn id="10" name="מחלקה"/>
    <x:tableColumn id="11" name="מושב"/>
    <x:tableColumn id="12" name="כבודה"/>
    <x:tableColumn id="13" name="קוד הזמנה"/>
    <x:tableColumn id="14" name="ארוחה לפי המקור"/>
    <x:tableColumn id="15" name="הערות"/>
    <x:tableColumn id="16" name="ניהול הזמנה"/>
    <x:tableColumn id="17" name="ניהול אצל המפעי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bd39818d6148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f4d188558a40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644986c1bf40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2" ht="28" customHeight="1">
      <x:c r="A2" s="9" t="str">
        <x:v>מעקב נסיעות — 13.10.2026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4" t="str">
        <x:v>מתועד = מופיע במקור, ללא אימות עדכני. לא נמצא אישור = אינו מוכיח שלא הוזמן.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8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42" customHeight="1">
      <x:c r="A5" s="8" t="str">
        <x:v>נסיעה</x:v>
      </x:c>
      <x:c r="B5" s="8" t="str">
        <x:v>עבור מי</x:v>
      </x:c>
      <x:c r="C5" s="8" t="str">
        <x:v>יציאה</x:v>
      </x:c>
      <x:c r="D5" s="8" t="str">
        <x:v>חזרה</x:v>
      </x:c>
      <x:c r="E5" s="8" t="str">
        <x:v>מונית לשדה בישראל</x:v>
      </x:c>
      <x:c r="F5" s="8" t="str">
        <x:v>טיסה ליעד</x:v>
      </x:c>
      <x:c r="G5" s="8" t="str">
        <x:v>מונית למלון</x:v>
      </x:c>
      <x:c r="H5" s="8" t="str">
        <x:v>מלון</x:v>
      </x:c>
      <x:c r="I5" s="8" t="str">
        <x:v>כרטיס לכנס</x:v>
      </x:c>
      <x:c r="J5" s="8" t="str">
        <x:v>כרטיסים לאירועים</x:v>
      </x:c>
      <x:c r="K5" s="8" t="str">
        <x:v>מונית לשדה בחו״ל</x:v>
      </x:c>
      <x:c r="L5" s="8" t="str">
        <x:v>טיסה חזרה</x:v>
      </x:c>
      <x:c r="M5" s="8" t="str">
        <x:v>ביטוח</x:v>
      </x:c>
      <x:c r="N5" s="8" t="str">
        <x:v>ארוחות</x:v>
      </x:c>
      <x:c r="O5" s="8" t="str">
        <x:v>סעיפים לטיפול</x:v>
      </x:c>
    </x:row>
    <x:row r="6" ht="56" customHeight="1">
      <x:c r="A6" s="4" t="str">
        <x:v>רומא</x:v>
      </x:c>
      <x:c r="B6" s="10" t="str">
        <x:v>אסף</x:v>
      </x:c>
      <x:c r="C6" s="5" t="d">
        <x:v>2026-11-02T00:00:00.000Z</x:v>
      </x:c>
      <x:c r="D6" s="5" t="d">
        <x:v>2026-11-08T00:00:00.000Z</x:v>
      </x:c>
      <x:c r="E6" s="4" t="str">
        <x:v>לא נמצא אישור</x:v>
      </x:c>
      <x:c r="F6" s="4" t="str">
        <x:v>מתועד</x:v>
      </x:c>
      <x:c r="G6" s="4" t="str">
        <x:v>לא נמצא אישור</x:v>
      </x:c>
      <x:c r="H6" s="4" t="str">
        <x:v>מתועד</x:v>
      </x:c>
      <x:c r="I6" s="4" t="str">
        <x:v>דורש אימות</x:v>
      </x:c>
      <x:c r="J6" s="4" t="str">
        <x:v>דורש בירור</x:v>
      </x:c>
      <x:c r="K6" s="4" t="str">
        <x:v>לא נמצא אישור</x:v>
      </x:c>
      <x:c r="L6" s="4" t="str">
        <x:v>מתועד</x:v>
      </x:c>
      <x:c r="M6" s="4" t="str">
        <x:v>לא נמצא אישור</x:v>
      </x:c>
      <x:c r="N6" s="4" t="str">
        <x:v>דורש אימות</x:v>
      </x:c>
      <x:c r="O6" s="4" t="n">
        <x:f>COUNTIF(E6:N6,"לא נמצא אישור")+COUNTIF(E6:N6,"דורש אימות")+COUNTIF(E6:N6,"דורש בירור")+COUNTIF(E6:N6,"חלקי")+COUNTIF(E6:N6,"מתועד")</x:f>
        <x:v>10</x:v>
      </x:c>
    </x:row>
    <x:row r="7" ht="56" customHeight="1">
      <x:c r="A7" s="4" t="str">
        <x:v>דובאי</x:v>
      </x:c>
      <x:c r="B7" s="10" t="str">
        <x:v>אודליה</x:v>
      </x:c>
      <x:c r="C7" s="5" t="d">
        <x:v>2026-11-19T00:00:00.000Z</x:v>
      </x:c>
      <x:c r="D7" s="5" t="d">
        <x:v>2026-11-22T00:00:00.000Z</x:v>
      </x:c>
      <x:c r="E7" s="4" t="str">
        <x:v>לא נמצא אישור</x:v>
      </x:c>
      <x:c r="F7" s="4" t="str">
        <x:v>מתועד</x:v>
      </x:c>
      <x:c r="G7" s="4" t="str">
        <x:v>אושר במסמך</x:v>
      </x:c>
      <x:c r="H7" s="4" t="str">
        <x:v>מתועד</x:v>
      </x:c>
      <x:c r="I7" s="4" t="str">
        <x:v>דורש אימות</x:v>
      </x:c>
      <x:c r="J7" s="4" t="str">
        <x:v>דורש בירור</x:v>
      </x:c>
      <x:c r="K7" s="4" t="str">
        <x:v>לא נמצא אישור</x:v>
      </x:c>
      <x:c r="L7" s="4" t="str">
        <x:v>מתועד</x:v>
      </x:c>
      <x:c r="M7" s="4" t="str">
        <x:v>לא נמצא אישור</x:v>
      </x:c>
      <x:c r="N7" s="4" t="str">
        <x:v>חלקי</x:v>
      </x:c>
      <x:c r="O7" s="4" t="n">
        <x:f>COUNTIF(E7:N7,"לא נמצא אישור")+COUNTIF(E7:N7,"דורש אימות")+COUNTIF(E7:N7,"דורש בירור")+COUNTIF(E7:N7,"חלקי")+COUNTIF(E7:N7,"מתועד")</x:f>
        <x:v>9</x:v>
      </x:c>
    </x:row>
    <x:row r="8" ht="56" customHeight="1">
      <x:c r="A8" s="4" t="str">
        <x:v>תאילנד - שירה</x:v>
      </x:c>
      <x:c r="B8" s="10" t="str">
        <x:v>שירה; נוסע נוסף בהזמנה אינו מזוהה</x:v>
      </x:c>
      <x:c r="C8" s="5" t="d">
        <x:v>2026-11-22T00:00:00.000Z</x:v>
      </x:c>
      <x:c r="D8" s="5"/>
      <x:c r="E8" s="4" t="str">
        <x:v>לא נמצא אישור</x:v>
      </x:c>
      <x:c r="F8" s="4" t="str">
        <x:v>מתועד</x:v>
      </x:c>
      <x:c r="G8" s="4" t="str">
        <x:v>לא נמצא אישור</x:v>
      </x:c>
      <x:c r="H8" s="4" t="str">
        <x:v>חלקי</x:v>
      </x:c>
      <x:c r="I8" s="4" t="str">
        <x:v>דורש בירור</x:v>
      </x:c>
      <x:c r="J8" s="4" t="str">
        <x:v>חלקי</x:v>
      </x:c>
      <x:c r="K8" s="4" t="str">
        <x:v>לא נמצא אישור</x:v>
      </x:c>
      <x:c r="L8" s="4" t="str">
        <x:v>דורש בירור</x:v>
      </x:c>
      <x:c r="M8" s="4" t="str">
        <x:v>לא נמצא אישור</x:v>
      </x:c>
      <x:c r="N8" s="4" t="str">
        <x:v>דורש אימות</x:v>
      </x:c>
      <x:c r="O8" s="4" t="n">
        <x:f>COUNTIF(E8:N8,"לא נמצא אישור")+COUNTIF(E8:N8,"דורש אימות")+COUNTIF(E8:N8,"דורש בירור")+COUNTIF(E8:N8,"חלקי")+COUNTIF(E8:N8,"מתועד")</x:f>
        <x:v>10</x:v>
      </x:c>
    </x:row>
    <x:row r="9" ht="56" customHeight="1">
      <x:c r="A9" s="4" t="str">
        <x:v>תאילנד ויפן</x:v>
      </x:c>
      <x:c r="B9" s="10" t="str">
        <x:v>אסף</x:v>
      </x:c>
      <x:c r="C9" s="5" t="d">
        <x:v>2026-12-07T00:00:00.000Z</x:v>
      </x:c>
      <x:c r="D9" s="5" t="d">
        <x:v>2026-12-25T00:00:00.000Z</x:v>
      </x:c>
      <x:c r="E9" s="4" t="str">
        <x:v>לא נמצא אישור</x:v>
      </x:c>
      <x:c r="F9" s="4" t="str">
        <x:v>מתועד</x:v>
      </x:c>
      <x:c r="G9" s="4" t="str">
        <x:v>לא נמצא אישור</x:v>
      </x:c>
      <x:c r="H9" s="4" t="str">
        <x:v>חלקי</x:v>
      </x:c>
      <x:c r="I9" s="4" t="str">
        <x:v>דורש אימות</x:v>
      </x:c>
      <x:c r="J9" s="4" t="str">
        <x:v>דורש אימות</x:v>
      </x:c>
      <x:c r="K9" s="4" t="str">
        <x:v>לא נמצא אישור</x:v>
      </x:c>
      <x:c r="L9" s="4" t="str">
        <x:v>מתועד</x:v>
      </x:c>
      <x:c r="M9" s="4" t="str">
        <x:v>לא נמצא אישור</x:v>
      </x:c>
      <x:c r="N9" s="4" t="str">
        <x:v>דורש אימות</x:v>
      </x:c>
      <x:c r="O9" s="4" t="n">
        <x:f>COUNTIF(E9:N9,"לא נמצא אישור")+COUNTIF(E9:N9,"דורש אימות")+COUNTIF(E9:N9,"דורש בירור")+COUNTIF(E9:N9,"חלקי")+COUNTIF(E9:N9,"מתועד")</x:f>
        <x:v>10</x:v>
      </x:c>
    </x:row>
    <x:row r="10" ht="56" customHeight="1">
      <x:c r="A10" s="4" t="str">
        <x:v>פראג</x:v>
      </x:c>
      <x:c r="B10" s="10" t="str">
        <x:v>אסף ואודליה</x:v>
      </x:c>
      <x:c r="C10" s="5" t="d">
        <x:v>2027-03-18T00:00:00.000Z</x:v>
      </x:c>
      <x:c r="D10" s="5" t="d">
        <x:v>2027-03-21T00:00:00.000Z</x:v>
      </x:c>
      <x:c r="E10" s="4" t="str">
        <x:v>לא נמצא אישור</x:v>
      </x:c>
      <x:c r="F10" s="4" t="str">
        <x:v>מתועד</x:v>
      </x:c>
      <x:c r="G10" s="4" t="str">
        <x:v>לא נמצא אישור</x:v>
      </x:c>
      <x:c r="H10" s="4" t="str">
        <x:v>אושר במסמך</x:v>
      </x:c>
      <x:c r="I10" s="4" t="str">
        <x:v>דורש בירור</x:v>
      </x:c>
      <x:c r="J10" s="4" t="str">
        <x:v>אושר במסמך</x:v>
      </x:c>
      <x:c r="K10" s="4" t="str">
        <x:v>לא נמצא אישור</x:v>
      </x:c>
      <x:c r="L10" s="4" t="str">
        <x:v>מתועד</x:v>
      </x:c>
      <x:c r="M10" s="4" t="str">
        <x:v>לא נמצא אישור</x:v>
      </x:c>
      <x:c r="N10" s="4" t="str">
        <x:v>דורש אימות</x:v>
      </x:c>
      <x:c r="O10" s="4" t="n">
        <x:f>COUNTIF(E10:N10,"לא נמצא אישור")+COUNTIF(E10:N10,"דורש אימות")+COUNTIF(E10:N10,"דורש בירור")+COUNTIF(E10:N10,"חלקי")+COUNTIF(E10:N10,"מתועד")</x:f>
        <x:v>8</x:v>
      </x:c>
    </x:row>
    <x:row r="11" ht="56" customHeight="1">
      <x:c r="A11" s="4" t="str">
        <x:v>בוקרשט (עבר)</x:v>
      </x:c>
      <x:c r="B11" s="10" t="str">
        <x:v>אודליה</x:v>
      </x:c>
      <x:c r="C11" s="5" t="d">
        <x:v>2026-09-15T00:00:00.000Z</x:v>
      </x:c>
      <x:c r="D11" s="5" t="d">
        <x:v>2026-09-20T00:00:00.000Z</x:v>
      </x:c>
      <x:c r="E11" s="4" t="str">
        <x:v>נסיעת עבר</x:v>
      </x:c>
      <x:c r="F11" s="4" t="str">
        <x:v>מתועד</x:v>
      </x:c>
      <x:c r="G11" s="4" t="str">
        <x:v>נסיעת עבר</x:v>
      </x:c>
      <x:c r="H11" s="4" t="str">
        <x:v>נסיעת עבר</x:v>
      </x:c>
      <x:c r="I11" s="4" t="str">
        <x:v>נסיעת עבר</x:v>
      </x:c>
      <x:c r="J11" s="4" t="str">
        <x:v>נסיעת עבר</x:v>
      </x:c>
      <x:c r="K11" s="4" t="str">
        <x:v>נסיעת עבר</x:v>
      </x:c>
      <x:c r="L11" s="4" t="str">
        <x:v>מתועד</x:v>
      </x:c>
      <x:c r="M11" s="4" t="str">
        <x:v>נסיעת עבר</x:v>
      </x:c>
      <x:c r="N11" s="4" t="str">
        <x:v>נסיעת עבר</x:v>
      </x:c>
      <x:c r="O11" s="4" t="n">
        <x:f>COUNTIF(E11:N11,"לא נמצא אישור")+COUNTIF(E11:N11,"דורש אימות")+COUNTIF(E11:N11,"דורש בירור")+COUNTIF(E11:N11,"חלקי")+COUNTIF(E11:N11,"מתועד")</x:f>
        <x:v>2</x:v>
      </x:c>
    </x:row>
  </x:sheetData>
  <x:conditionalFormatting sqref="E6:N11">
    <x:cfRule type="containsText" dxfId="0" priority="1" operator="containsText" text="לא נמצא אישור"/>
    <x:cfRule type="containsText" dxfId="1" priority="2" operator="containsText" text="דורש אימות"/>
    <x:cfRule type="containsText" dxfId="2" priority="3" operator="containsText" text="דורש בירור"/>
    <x:cfRule type="containsText" dxfId="3" priority="4" operator="containsText" text="חלקי"/>
  </x:conditionalFormatting>
  <x:pageMargins left="0.7" right="0.7" top="0.75" bottom="0.75" header="0.3" footer="0.3"/>
  <x:tableParts count="1">
    <x:tablePart xmlns:r="http://schemas.openxmlformats.org/officeDocument/2006/relationships" r:id="R07bd39818d6148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5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42" customHeight="1">
      <x:c r="A1" s="8" t="str">
        <x:v>נסיעה</x:v>
      </x:c>
      <x:c r="B1" s="8" t="str">
        <x:v>עבור מי</x:v>
      </x:c>
      <x:c r="C1" s="8" t="str">
        <x:v>סעיף</x:v>
      </x:c>
      <x:c r="D1" s="8" t="str">
        <x:v>מצב</x:v>
      </x:c>
      <x:c r="E1" s="8" t="str">
        <x:v>פרטים וממצאים</x:v>
      </x:c>
      <x:c r="F1" s="8" t="str">
        <x:v>מקור</x:v>
      </x:c>
      <x:c r="G1" s="8" t="str">
        <x:v>פעולה הבאה</x:v>
      </x:c>
      <x:c r="H1" s="8" t="str">
        <x:v>אישור / עדכון שלך</x:v>
      </x:c>
    </x:row>
    <x:row r="2" ht="66" customHeight="1">
      <x:c r="A2" s="4" t="str">
        <x:v>רומא</x:v>
      </x:c>
      <x:c r="B2" s="4" t="str">
        <x:v>אסף</x:v>
      </x:c>
      <x:c r="C2" s="4" t="str">
        <x:v>מונית לשדה בישראל</x:v>
      </x:c>
      <x:c r="D2" s="4" t="str">
        <x:v>לא נמצא אישור</x:v>
      </x:c>
      <x:c r="E2" s="10" t="str">
        <x:v>לא נמצא אישור במקורות שנבדקו; לברר אם כבר הוזמן</x:v>
      </x:c>
      <x:c r="F2" s="10" t="str">
        <x:v>https://docs.google.com/spreadsheets/d/1MY5bKO5o69hWSdqrAtM3iuK77mk-UCiXY4rBOzWqQbY/edit</x:v>
      </x:c>
      <x:c r="G2" s="10" t="str">
        <x:v>לאתר אישור או להזמין לאחר בירור</x:v>
      </x:c>
      <x:c r="H2" s="10"/>
    </x:row>
    <x:row r="3" ht="66" customHeight="1">
      <x:c r="A3" s="4" t="str">
        <x:v>רומא</x:v>
      </x:c>
      <x:c r="B3" s="4" t="str">
        <x:v>אסף</x:v>
      </x:c>
      <x:c r="C3" s="4" t="str">
        <x:v>טיסה ליעד</x:v>
      </x:c>
      <x:c r="D3" s="4" t="str">
        <x:v>מתועד</x:v>
      </x:c>
      <x:c r="E3" s="10" t="str">
        <x:v>LY383, 2.11 18:15–21:00</x:v>
      </x:c>
      <x:c r="F3" s="10" t="str">
        <x:v>https://docs.google.com/spreadsheets/d/1MY5bKO5o69hWSdqrAtM3iuK77mk-UCiXY4rBOzWqQbY/edit</x:v>
      </x:c>
      <x:c r="G3" s="10" t="str">
        <x:v>לאמת מול אישור ההזמנה העדכני</x:v>
      </x:c>
      <x:c r="H3" s="10"/>
    </x:row>
    <x:row r="4" ht="66" customHeight="1">
      <x:c r="A4" s="4" t="str">
        <x:v>רומא</x:v>
      </x:c>
      <x:c r="B4" s="4" t="str">
        <x:v>אסף</x:v>
      </x:c>
      <x:c r="C4" s="4" t="str">
        <x:v>מונית למלון</x:v>
      </x:c>
      <x:c r="D4" s="4" t="str">
        <x:v>לא נמצא אישור</x:v>
      </x:c>
      <x:c r="E4" s="10" t="str">
        <x:v>לא נמצא אישור במקורות שנבדקו; לברר אם כבר הוזמן</x:v>
      </x:c>
      <x:c r="F4" s="10" t="str">
        <x:v>https://docs.google.com/spreadsheets/d/1MY5bKO5o69hWSdqrAtM3iuK77mk-UCiXY4rBOzWqQbY/edit</x:v>
      </x:c>
      <x:c r="G4" s="10" t="str">
        <x:v>לאתר אישור או להזמין לאחר בירור</x:v>
      </x:c>
      <x:c r="H4" s="10"/>
    </x:row>
    <x:row r="5" ht="66" customHeight="1">
      <x:c r="A5" s="4" t="str">
        <x:v>רומא</x:v>
      </x:c>
      <x:c r="B5" s="4" t="str">
        <x:v>אסף</x:v>
      </x:c>
      <x:c r="C5" s="4" t="str">
        <x:v>מלון</x:v>
      </x:c>
      <x:c r="D5" s="4" t="str">
        <x:v>מתועד</x:v>
      </x:c>
      <x:c r="E5" s="10" t="str">
        <x:v>UNA Trastevere: 2–5.11; Trilussa Palace: 5–7.11; לבדוק כיסוי כל הלילות</x:v>
      </x:c>
      <x:c r="F5" s="10" t="str">
        <x:v>https://docs.google.com/spreadsheets/d/1MY5bKO5o69hWSdqrAtM3iuK77mk-UCiXY4rBOzWqQbY/edit</x:v>
      </x:c>
      <x:c r="G5" s="10" t="str">
        <x:v>לאמת מול אישור ההזמנה העדכני</x:v>
      </x:c>
      <x:c r="H5" s="10"/>
    </x:row>
    <x:row r="6" ht="66" customHeight="1">
      <x:c r="A6" s="4" t="str">
        <x:v>רומא</x:v>
      </x:c>
      <x:c r="B6" s="4" t="str">
        <x:v>אסף</x:v>
      </x:c>
      <x:c r="C6" s="4" t="str">
        <x:v>כרטיס לכנס</x:v>
      </x:c>
      <x:c r="D6" s="4" t="str">
        <x:v>דורש אימות</x:v>
      </x:c>
      <x:c r="E6" s="10" t="str">
        <x:v>SiGMA World מופיע ביומן; לא אותר כרטיס כניסה</x:v>
      </x:c>
      <x:c r="F6" s="10" t="str">
        <x:v>https://docs.google.com/spreadsheets/d/1MY5bKO5o69hWSdqrAtM3iuK77mk-UCiXY4rBOzWqQbY/edit</x:v>
      </x:c>
      <x:c r="G6" s="10" t="str">
        <x:v>לאמת מול אישור ההזמנה העדכני</x:v>
      </x:c>
      <x:c r="H6" s="10"/>
    </x:row>
    <x:row r="7" ht="66" customHeight="1">
      <x:c r="A7" s="4" t="str">
        <x:v>רומא</x:v>
      </x:c>
      <x:c r="B7" s="4" t="str">
        <x:v>אסף</x:v>
      </x:c>
      <x:c r="C7" s="4" t="str">
        <x:v>כרטיסים לאירועים</x:v>
      </x:c>
      <x:c r="D7" s="4" t="str">
        <x:v>דורש בירור</x:v>
      </x:c>
      <x:c r="E7" s="10" t="str">
        <x:v>לא תועדו אירועים נוספים; לבדוק אם קיימים</x:v>
      </x:c>
      <x:c r="F7" s="10" t="str">
        <x:v>https://docs.google.com/spreadsheets/d/1MY5bKO5o69hWSdqrAtM3iuK77mk-UCiXY4rBOzWqQbY/edit</x:v>
      </x:c>
      <x:c r="G7" s="10" t="str">
        <x:v>לאמת מול אישור ההזמנה העדכני</x:v>
      </x:c>
      <x:c r="H7" s="10"/>
    </x:row>
    <x:row r="8" ht="66" customHeight="1">
      <x:c r="A8" s="4" t="str">
        <x:v>רומא</x:v>
      </x:c>
      <x:c r="B8" s="4" t="str">
        <x:v>אסף</x:v>
      </x:c>
      <x:c r="C8" s="4" t="str">
        <x:v>מונית לשדה בחו״ל</x:v>
      </x:c>
      <x:c r="D8" s="4" t="str">
        <x:v>לא נמצא אישור</x:v>
      </x:c>
      <x:c r="E8" s="10" t="str">
        <x:v>לא נמצא אישור במקורות שנבדקו; לברר אם כבר הוזמן</x:v>
      </x:c>
      <x:c r="F8" s="10" t="str">
        <x:v>https://docs.google.com/spreadsheets/d/1MY5bKO5o69hWSdqrAtM3iuK77mk-UCiXY4rBOzWqQbY/edit</x:v>
      </x:c>
      <x:c r="G8" s="10" t="str">
        <x:v>לאתר אישור או להזמין לאחר בירור</x:v>
      </x:c>
      <x:c r="H8" s="10"/>
    </x:row>
    <x:row r="9" ht="66" customHeight="1">
      <x:c r="A9" s="4" t="str">
        <x:v>רומא</x:v>
      </x:c>
      <x:c r="B9" s="4" t="str">
        <x:v>אסף</x:v>
      </x:c>
      <x:c r="C9" s="4" t="str">
        <x:v>טיסה חזרה</x:v>
      </x:c>
      <x:c r="D9" s="4" t="str">
        <x:v>מתועד</x:v>
      </x:c>
      <x:c r="E9" s="10" t="str">
        <x:v>LY384, 7.11 21:55; נחיתה 8.11 02:15</x:v>
      </x:c>
      <x:c r="F9" s="10" t="str">
        <x:v>https://docs.google.com/spreadsheets/d/1MY5bKO5o69hWSdqrAtM3iuK77mk-UCiXY4rBOzWqQbY/edit</x:v>
      </x:c>
      <x:c r="G9" s="10" t="str">
        <x:v>לאמת מול אישור ההזמנה העדכני</x:v>
      </x:c>
      <x:c r="H9" s="10"/>
    </x:row>
    <x:row r="10" ht="66" customHeight="1">
      <x:c r="A10" s="4" t="str">
        <x:v>רומא</x:v>
      </x:c>
      <x:c r="B10" s="4" t="str">
        <x:v>אסף</x:v>
      </x:c>
      <x:c r="C10" s="4" t="str">
        <x:v>ביטוח</x:v>
      </x:c>
      <x:c r="D10" s="4" t="str">
        <x:v>לא נמצא אישור</x:v>
      </x:c>
      <x:c r="E10" s="10" t="str">
        <x:v>יש תזכורת ביטוח ביומן; תזכורת אינה פוליסה</x:v>
      </x:c>
      <x:c r="F10" s="10" t="str">
        <x:v>https://docs.google.com/spreadsheets/d/1MY5bKO5o69hWSdqrAtM3iuK77mk-UCiXY4rBOzWqQbY/edit</x:v>
      </x:c>
      <x:c r="G10" s="10" t="str">
        <x:v>לאמת מול אישור ההזמנה העדכני</x:v>
      </x:c>
      <x:c r="H10" s="10"/>
    </x:row>
    <x:row r="11" ht="66" customHeight="1">
      <x:c r="A11" s="4" t="str">
        <x:v>רומא</x:v>
      </x:c>
      <x:c r="B11" s="4" t="str">
        <x:v>אסף</x:v>
      </x:c>
      <x:c r="C11" s="4" t="str">
        <x:v>ארוחות</x:v>
      </x:c>
      <x:c r="D11" s="4" t="str">
        <x:v>דורש אימות</x:v>
      </x:c>
      <x:c r="E11" s="10" t="str">
        <x:v>ארוחות הטיסות לא מאומתות; לברר גם ארוחת בוקר והזמנות למסעדות</x:v>
      </x:c>
      <x:c r="F11" s="10" t="str">
        <x:v>https://docs.google.com/spreadsheets/d/1MY5bKO5o69hWSdqrAtM3iuK77mk-UCiXY4rBOzWqQbY/edit</x:v>
      </x:c>
      <x:c r="G11" s="10" t="str">
        <x:v>לאמת מול אישור ההזמנה העדכני</x:v>
      </x:c>
      <x:c r="H11" s="10"/>
    </x:row>
    <x:row r="12" ht="66" customHeight="1">
      <x:c r="A12" s="4" t="str">
        <x:v>דובאי</x:v>
      </x:c>
      <x:c r="B12" s="4" t="str">
        <x:v>אודליה</x:v>
      </x:c>
      <x:c r="C12" s="4" t="str">
        <x:v>מונית לשדה בישראל</x:v>
      </x:c>
      <x:c r="D12" s="4" t="str">
        <x:v>לא נמצא אישור</x:v>
      </x:c>
      <x:c r="E12" s="10" t="str">
        <x:v>לא נמצא אישור במקורות שנבדקו; לברר אם כבר הוזמן</x:v>
      </x:c>
      <x:c r="F12" s="10" t="str">
        <x:v>https://docs.google.com/spreadsheets/d/1MY5bKO5o69hWSdqrAtM3iuK77mk-UCiXY4rBOzWqQbY/edit</x:v>
      </x:c>
      <x:c r="G12" s="10" t="str">
        <x:v>לאתר אישור או להזמין לאחר בירור</x:v>
      </x:c>
      <x:c r="H12" s="10"/>
    </x:row>
    <x:row r="13" ht="66" customHeight="1">
      <x:c r="A13" s="4" t="str">
        <x:v>דובאי</x:v>
      </x:c>
      <x:c r="B13" s="4" t="str">
        <x:v>אודליה</x:v>
      </x:c>
      <x:c r="C13" s="4" t="str">
        <x:v>טיסה ליעד</x:v>
      </x:c>
      <x:c r="D13" s="4" t="str">
        <x:v>מתועד</x:v>
      </x:c>
      <x:c r="E13" s="10" t="str">
        <x:v>LY971, 19.11 06:20–11:35; ZKJIXH</x:v>
      </x:c>
      <x:c r="F13" s="10" t="str">
        <x:v>https://docs.google.com/spreadsheets/d/1MY5bKO5o69hWSdqrAtM3iuK77mk-UCiXY4rBOzWqQbY/edit</x:v>
      </x:c>
      <x:c r="G13" s="10" t="str">
        <x:v>לאמת מול אישור ההזמנה העדכני</x:v>
      </x:c>
      <x:c r="H13" s="10"/>
    </x:row>
    <x:row r="14" ht="66" customHeight="1">
      <x:c r="A14" s="4" t="str">
        <x:v>דובאי</x:v>
      </x:c>
      <x:c r="B14" s="4" t="str">
        <x:v>אודליה</x:v>
      </x:c>
      <x:c r="C14" s="4" t="str">
        <x:v>מונית למלון</x:v>
      </x:c>
      <x:c r="D14" s="4" t="str">
        <x:v>אושר במסמך</x:v>
      </x:c>
      <x:c r="E14" s="10" t="str">
        <x:v>Rimo Tours דרך Booking.com; DXB→Rove City Walk; 19.11 11:35; הזמנה 645405120</x:v>
      </x:c>
      <x:c r="F14" s="10" t="str">
        <x:v>https://mail.google.com/mail/u/0/#all/1a0bef769d0ce8fd</x:v>
      </x:c>
      <x:c r="G14" s="10" t="str">
        <x:v>לבדוק פרטי הנהג סמוך לנסיעה</x:v>
      </x:c>
      <x:c r="H14" s="10"/>
    </x:row>
    <x:row r="15" ht="66" customHeight="1">
      <x:c r="A15" s="4" t="str">
        <x:v>דובאי</x:v>
      </x:c>
      <x:c r="B15" s="4" t="str">
        <x:v>אודליה</x:v>
      </x:c>
      <x:c r="C15" s="4" t="str">
        <x:v>מלון</x:v>
      </x:c>
      <x:c r="D15" s="4" t="str">
        <x:v>מתועד</x:v>
      </x:c>
      <x:c r="E15" s="10" t="str">
        <x:v>Rove City Walk, 19–22.11; מופיע ביומן</x:v>
      </x:c>
      <x:c r="F15" s="10" t="str">
        <x:v>https://docs.google.com/spreadsheets/d/1MY5bKO5o69hWSdqrAtM3iuK77mk-UCiXY4rBOzWqQbY/edit</x:v>
      </x:c>
      <x:c r="G15" s="10" t="str">
        <x:v>לאמת מול אישור ההזמנה העדכני</x:v>
      </x:c>
      <x:c r="H15" s="10"/>
    </x:row>
    <x:row r="16" ht="66" customHeight="1">
      <x:c r="A16" s="4" t="str">
        <x:v>דובאי</x:v>
      </x:c>
      <x:c r="B16" s="4" t="str">
        <x:v>אודליה</x:v>
      </x:c>
      <x:c r="C16" s="4" t="str">
        <x:v>כרטיס לכנס</x:v>
      </x:c>
      <x:c r="D16" s="4" t="str">
        <x:v>דורש אימות</x:v>
      </x:c>
      <x:c r="E16" s="10" t="str">
        <x:v>MEGACAMPUS Dubai, 20–21.11; מופיע ביומן, כרטיס לא אותר</x:v>
      </x:c>
      <x:c r="F16" s="10" t="str">
        <x:v>https://docs.google.com/spreadsheets/d/1MY5bKO5o69hWSdqrAtM3iuK77mk-UCiXY4rBOzWqQbY/edit</x:v>
      </x:c>
      <x:c r="G16" s="10" t="str">
        <x:v>לאמת מול אישור ההזמנה העדכני</x:v>
      </x:c>
      <x:c r="H16" s="10"/>
    </x:row>
    <x:row r="17" ht="66" customHeight="1">
      <x:c r="A17" s="4" t="str">
        <x:v>דובאי</x:v>
      </x:c>
      <x:c r="B17" s="4" t="str">
        <x:v>אודליה</x:v>
      </x:c>
      <x:c r="C17" s="4" t="str">
        <x:v>כרטיסים לאירועים</x:v>
      </x:c>
      <x:c r="D17" s="4" t="str">
        <x:v>דורש בירור</x:v>
      </x:c>
      <x:c r="E17" s="10" t="str">
        <x:v>Networking מופיע ביומן; לברר האם נדרש כרטיס נפרד</x:v>
      </x:c>
      <x:c r="F17" s="10" t="str">
        <x:v>https://docs.google.com/spreadsheets/d/1MY5bKO5o69hWSdqrAtM3iuK77mk-UCiXY4rBOzWqQbY/edit</x:v>
      </x:c>
      <x:c r="G17" s="10" t="str">
        <x:v>לאמת מול אישור ההזמנה העדכני</x:v>
      </x:c>
      <x:c r="H17" s="10"/>
    </x:row>
    <x:row r="18" ht="66" customHeight="1">
      <x:c r="A18" s="4" t="str">
        <x:v>דובאי</x:v>
      </x:c>
      <x:c r="B18" s="4" t="str">
        <x:v>אודליה</x:v>
      </x:c>
      <x:c r="C18" s="4" t="str">
        <x:v>מונית לשדה בחו״ל</x:v>
      </x:c>
      <x:c r="D18" s="4" t="str">
        <x:v>לא נמצא אישור</x:v>
      </x:c>
      <x:c r="E18" s="10" t="str">
        <x:v>לא נמצא אישור במקורות שנבדקו; לברר אם כבר הוזמן</x:v>
      </x:c>
      <x:c r="F18" s="10" t="str">
        <x:v>https://docs.google.com/spreadsheets/d/1MY5bKO5o69hWSdqrAtM3iuK77mk-UCiXY4rBOzWqQbY/edit</x:v>
      </x:c>
      <x:c r="G18" s="10" t="str">
        <x:v>לאתר אישור או להזמין לאחר בירור</x:v>
      </x:c>
      <x:c r="H18" s="10"/>
    </x:row>
    <x:row r="19" ht="66" customHeight="1">
      <x:c r="A19" s="4" t="str">
        <x:v>דובאי</x:v>
      </x:c>
      <x:c r="B19" s="4" t="str">
        <x:v>אודליה</x:v>
      </x:c>
      <x:c r="C19" s="4" t="str">
        <x:v>טיסה חזרה</x:v>
      </x:c>
      <x:c r="D19" s="4" t="str">
        <x:v>מתועד</x:v>
      </x:c>
      <x:c r="E19" s="10" t="str">
        <x:v>LY972, 22.11 13:00–14:40; החליפה LY974</x:v>
      </x:c>
      <x:c r="F19" s="10" t="str">
        <x:v>https://docs.google.com/spreadsheets/d/1MY5bKO5o69hWSdqrAtM3iuK77mk-UCiXY4rBOzWqQbY/edit</x:v>
      </x:c>
      <x:c r="G19" s="10" t="str">
        <x:v>לאמת מול אישור ההזמנה העדכני</x:v>
      </x:c>
      <x:c r="H19" s="10"/>
    </x:row>
    <x:row r="20" ht="66" customHeight="1">
      <x:c r="A20" s="4" t="str">
        <x:v>דובאי</x:v>
      </x:c>
      <x:c r="B20" s="4" t="str">
        <x:v>אודליה</x:v>
      </x:c>
      <x:c r="C20" s="4" t="str">
        <x:v>ביטוח</x:v>
      </x:c>
      <x:c r="D20" s="4" t="str">
        <x:v>לא נמצא אישור</x:v>
      </x:c>
      <x:c r="E20" s="10" t="str">
        <x:v>תזכורת ביומן; מסמכי PassportCard ישנים לא שויכו לתאריכי נסיעה אלה</x:v>
      </x:c>
      <x:c r="F20" s="10" t="str">
        <x:v>https://docs.google.com/spreadsheets/d/1MY5bKO5o69hWSdqrAtM3iuK77mk-UCiXY4rBOzWqQbY/edit</x:v>
      </x:c>
      <x:c r="G20" s="10" t="str">
        <x:v>לאמת מול אישור ההזמנה העדכני</x:v>
      </x:c>
      <x:c r="H20" s="10"/>
    </x:row>
    <x:row r="21" ht="66" customHeight="1">
      <x:c r="A21" s="4" t="str">
        <x:v>דובאי</x:v>
      </x:c>
      <x:c r="B21" s="4" t="str">
        <x:v>אודליה</x:v>
      </x:c>
      <x:c r="C21" s="4" t="str">
        <x:v>ארוחות</x:v>
      </x:c>
      <x:c r="D21" s="4" t="str">
        <x:v>חלקי</x:v>
      </x:c>
      <x:c r="E21" s="10" t="str">
        <x:v>VGML בהלוך אושרה לפי הגיליון; בחזור יש לוודא העברה; ארוחות מלון לא אומתו</x:v>
      </x:c>
      <x:c r="F21" s="10" t="str">
        <x:v>https://docs.google.com/spreadsheets/d/1MY5bKO5o69hWSdqrAtM3iuK77mk-UCiXY4rBOzWqQbY/edit</x:v>
      </x:c>
      <x:c r="G21" s="10" t="str">
        <x:v>לאמת מול אישור ההזמנה העדכני</x:v>
      </x:c>
      <x:c r="H21" s="10"/>
    </x:row>
    <x:row r="22" ht="66" customHeight="1">
      <x:c r="A22" s="4" t="str">
        <x:v>תאילנד - שירה</x:v>
      </x:c>
      <x:c r="B22" s="4" t="str">
        <x:v>שירה; נוסע נוסף בהזמנה אינו מזוהה</x:v>
      </x:c>
      <x:c r="C22" s="4" t="str">
        <x:v>מונית לשדה בישראל</x:v>
      </x:c>
      <x:c r="D22" s="4" t="str">
        <x:v>לא נמצא אישור</x:v>
      </x:c>
      <x:c r="E22" s="10" t="str">
        <x:v>לא נמצא אישור במקורות שנבדקו; לברר אם כבר הוזמן</x:v>
      </x:c>
      <x:c r="F22" s="10" t="str">
        <x:v>https://docs.google.com/spreadsheets/d/1MY5bKO5o69hWSdqrAtM3iuK77mk-UCiXY4rBOzWqQbY/edit</x:v>
      </x:c>
      <x:c r="G22" s="10" t="str">
        <x:v>לאתר אישור או להזמין לאחר בירור</x:v>
      </x:c>
      <x:c r="H22" s="10"/>
    </x:row>
    <x:row r="23" ht="66" customHeight="1">
      <x:c r="A23" s="4" t="str">
        <x:v>תאילנד - שירה</x:v>
      </x:c>
      <x:c r="B23" s="4" t="str">
        <x:v>שירה; נוסע נוסף בהזמנה אינו מזוהה</x:v>
      </x:c>
      <x:c r="C23" s="4" t="str">
        <x:v>טיסה ליעד</x:v>
      </x:c>
      <x:c r="D23" s="4" t="str">
        <x:v>מתועד</x:v>
      </x:c>
      <x:c r="E23" s="10" t="str">
        <x:v>LY081, 22.11 22:40; נחיתה 23.11 14:50; XNZL7P; 2 נוסעים בהזמנה</x:v>
      </x:c>
      <x:c r="F23" s="10" t="str">
        <x:v>https://docs.google.com/spreadsheets/d/1MY5bKO5o69hWSdqrAtM3iuK77mk-UCiXY4rBOzWqQbY/edit</x:v>
      </x:c>
      <x:c r="G23" s="10" t="str">
        <x:v>לאמת מול אישור ההזמנה העדכני</x:v>
      </x:c>
      <x:c r="H23" s="10"/>
    </x:row>
    <x:row r="24" ht="66" customHeight="1">
      <x:c r="A24" s="4" t="str">
        <x:v>תאילנד - שירה</x:v>
      </x:c>
      <x:c r="B24" s="4" t="str">
        <x:v>שירה; נוסע נוסף בהזמנה אינו מזוהה</x:v>
      </x:c>
      <x:c r="C24" s="4" t="str">
        <x:v>מונית למלון</x:v>
      </x:c>
      <x:c r="D24" s="4" t="str">
        <x:v>לא נמצא אישור</x:v>
      </x:c>
      <x:c r="E24" s="10" t="str">
        <x:v>לא נמצא אישור במקורות שנבדקו; לברר אם כבר הוזמן</x:v>
      </x:c>
      <x:c r="F24" s="10" t="str">
        <x:v>https://docs.google.com/spreadsheets/d/1MY5bKO5o69hWSdqrAtM3iuK77mk-UCiXY4rBOzWqQbY/edit</x:v>
      </x:c>
      <x:c r="G24" s="10" t="str">
        <x:v>לאתר אישור או להזמין לאחר בירור</x:v>
      </x:c>
      <x:c r="H24" s="10"/>
    </x:row>
    <x:row r="25" ht="66" customHeight="1">
      <x:c r="A25" s="4" t="str">
        <x:v>תאילנד - שירה</x:v>
      </x:c>
      <x:c r="B25" s="4" t="str">
        <x:v>שירה; נוסע נוסף בהזמנה אינו מזוהה</x:v>
      </x:c>
      <x:c r="C25" s="4" t="str">
        <x:v>מלון</x:v>
      </x:c>
      <x:c r="D25" s="4" t="str">
        <x:v>חלקי</x:v>
      </x:c>
      <x:c r="E25" s="10" t="str">
        <x:v>HT9 פטאיה, 9–14.12 ביומן בלבד; חסר תיעוד לינה מ-23.11 עד 9.12 ואחרי 14.12</x:v>
      </x:c>
      <x:c r="F25" s="10" t="str">
        <x:v>https://docs.google.com/spreadsheets/d/1MY5bKO5o69hWSdqrAtM3iuK77mk-UCiXY4rBOzWqQbY/edit</x:v>
      </x:c>
      <x:c r="G25" s="10" t="str">
        <x:v>לאמת מול אישור ההזמנה העדכני</x:v>
      </x:c>
      <x:c r="H25" s="10"/>
    </x:row>
    <x:row r="26" ht="66" customHeight="1">
      <x:c r="A26" s="4" t="str">
        <x:v>תאילנד - שירה</x:v>
      </x:c>
      <x:c r="B26" s="4" t="str">
        <x:v>שירה; נוסע נוסף בהזמנה אינו מזוהה</x:v>
      </x:c>
      <x:c r="C26" s="4" t="str">
        <x:v>כרטיס לכנס</x:v>
      </x:c>
      <x:c r="D26" s="4" t="str">
        <x:v>דורש בירור</x:v>
      </x:c>
      <x:c r="E26" s="10" t="str">
        <x:v>לא תועד כנס לשירה</x:v>
      </x:c>
      <x:c r="F26" s="10" t="str">
        <x:v>https://docs.google.com/spreadsheets/d/1MY5bKO5o69hWSdqrAtM3iuK77mk-UCiXY4rBOzWqQbY/edit</x:v>
      </x:c>
      <x:c r="G26" s="10" t="str">
        <x:v>לאמת מול אישור ההזמנה העדכני</x:v>
      </x:c>
      <x:c r="H26" s="10"/>
    </x:row>
    <x:row r="27" ht="66" customHeight="1">
      <x:c r="A27" s="4" t="str">
        <x:v>תאילנד - שירה</x:v>
      </x:c>
      <x:c r="B27" s="4" t="str">
        <x:v>שירה; נוסע נוסף בהזמנה אינו מזוהה</x:v>
      </x:c>
      <x:c r="C27" s="4" t="str">
        <x:v>כרטיסים לאירועים</x:v>
      </x:c>
      <x:c r="D27" s="4" t="str">
        <x:v>חלקי</x:v>
      </x:c>
      <x:c r="E27" s="10" t="str">
        <x:v>Tomorrowland: נמצא מייל התאמה אישית להזמנה; לא אומתו השלמת שיוך וכרטיס כניסה</x:v>
      </x:c>
      <x:c r="F27" s="10" t="str">
        <x:v>https://mail.google.com/mail/u/0/#all/1a0259cf65acf117</x:v>
      </x:c>
      <x:c r="G27" s="10" t="str">
        <x:v>לאמת שכל כרטיס משויך ושכרטיסי הכניסה זמינים</x:v>
      </x:c>
      <x:c r="H27" s="10"/>
    </x:row>
    <x:row r="28" ht="66" customHeight="1">
      <x:c r="A28" s="4" t="str">
        <x:v>תאילנד - שירה</x:v>
      </x:c>
      <x:c r="B28" s="4" t="str">
        <x:v>שירה; נוסע נוסף בהזמנה אינו מזוהה</x:v>
      </x:c>
      <x:c r="C28" s="4" t="str">
        <x:v>מונית לשדה בחו״ל</x:v>
      </x:c>
      <x:c r="D28" s="4" t="str">
        <x:v>לא נמצא אישור</x:v>
      </x:c>
      <x:c r="E28" s="10" t="str">
        <x:v>לא נמצא אישור במקורות שנבדקו; לברר אם כבר הוזמן</x:v>
      </x:c>
      <x:c r="F28" s="10" t="str">
        <x:v>https://docs.google.com/spreadsheets/d/1MY5bKO5o69hWSdqrAtM3iuK77mk-UCiXY4rBOzWqQbY/edit</x:v>
      </x:c>
      <x:c r="G28" s="10" t="str">
        <x:v>לאתר אישור או להזמין לאחר בירור</x:v>
      </x:c>
      <x:c r="H28" s="10"/>
    </x:row>
    <x:row r="29" ht="66" customHeight="1">
      <x:c r="A29" s="4" t="str">
        <x:v>תאילנד - שירה</x:v>
      </x:c>
      <x:c r="B29" s="4" t="str">
        <x:v>שירה; נוסע נוסף בהזמנה אינו מזוהה</x:v>
      </x:c>
      <x:c r="C29" s="4" t="str">
        <x:v>טיסה חזרה</x:v>
      </x:c>
      <x:c r="D29" s="4" t="str">
        <x:v>דורש בירור</x:v>
      </x:c>
      <x:c r="E29" s="10" t="str">
        <x:v>במקור נסיעה בכיוון אחד; לא תועדה חזרה או תאריך סיום</x:v>
      </x:c>
      <x:c r="F29" s="10" t="str">
        <x:v>https://docs.google.com/spreadsheets/d/1MY5bKO5o69hWSdqrAtM3iuK77mk-UCiXY4rBOzWqQbY/edit</x:v>
      </x:c>
      <x:c r="G29" s="10" t="str">
        <x:v>לברר אם נדרשת טיסת חזור ולתעד תאריך</x:v>
      </x:c>
      <x:c r="H29" s="10"/>
    </x:row>
    <x:row r="30" ht="66" customHeight="1">
      <x:c r="A30" s="4" t="str">
        <x:v>תאילנד - שירה</x:v>
      </x:c>
      <x:c r="B30" s="4" t="str">
        <x:v>שירה; נוסע נוסף בהזמנה אינו מזוהה</x:v>
      </x:c>
      <x:c r="C30" s="4" t="str">
        <x:v>ביטוח</x:v>
      </x:c>
      <x:c r="D30" s="4" t="str">
        <x:v>לא נמצא אישור</x:v>
      </x:c>
      <x:c r="E30" s="10" t="str">
        <x:v>יש תזכורת ביומן; יש לברר תאריך סיום ולוודא כיסוי לכל התקופה</x:v>
      </x:c>
      <x:c r="F30" s="10" t="str">
        <x:v>https://docs.google.com/spreadsheets/d/1MY5bKO5o69hWSdqrAtM3iuK77mk-UCiXY4rBOzWqQbY/edit</x:v>
      </x:c>
      <x:c r="G30" s="10" t="str">
        <x:v>לאמת מול אישור ההזמנה העדכני</x:v>
      </x:c>
      <x:c r="H30" s="10"/>
    </x:row>
    <x:row r="31" ht="66" customHeight="1">
      <x:c r="A31" s="4" t="str">
        <x:v>תאילנד - שירה</x:v>
      </x:c>
      <x:c r="B31" s="4" t="str">
        <x:v>שירה; נוסע נוסף בהזמנה אינו מזוהה</x:v>
      </x:c>
      <x:c r="C31" s="4" t="str">
        <x:v>ארוחות</x:v>
      </x:c>
      <x:c r="D31" s="4" t="str">
        <x:v>דורש אימות</x:v>
      </x:c>
      <x:c r="E31" s="10" t="str">
        <x:v>ארוחות בטיסה ובמלונות לא אומתו</x:v>
      </x:c>
      <x:c r="F31" s="10" t="str">
        <x:v>https://docs.google.com/spreadsheets/d/1MY5bKO5o69hWSdqrAtM3iuK77mk-UCiXY4rBOzWqQbY/edit</x:v>
      </x:c>
      <x:c r="G31" s="10" t="str">
        <x:v>לאמת מול אישור ההזמנה העדכני</x:v>
      </x:c>
      <x:c r="H31" s="10"/>
    </x:row>
    <x:row r="32" ht="66" customHeight="1">
      <x:c r="A32" s="4" t="str">
        <x:v>תאילנד ויפן</x:v>
      </x:c>
      <x:c r="B32" s="4" t="str">
        <x:v>אסף</x:v>
      </x:c>
      <x:c r="C32" s="4" t="str">
        <x:v>מונית לשדה בישראל</x:v>
      </x:c>
      <x:c r="D32" s="4" t="str">
        <x:v>לא נמצא אישור</x:v>
      </x:c>
      <x:c r="E32" s="10" t="str">
        <x:v>לא נמצא אישור במקורות שנבדקו; לברר אם כבר הוזמן</x:v>
      </x:c>
      <x:c r="F32" s="10" t="str">
        <x:v>https://docs.google.com/spreadsheets/d/1MY5bKO5o69hWSdqrAtM3iuK77mk-UCiXY4rBOzWqQbY/edit</x:v>
      </x:c>
      <x:c r="G32" s="10" t="str">
        <x:v>לאתר אישור או להזמין לאחר בירור</x:v>
      </x:c>
      <x:c r="H32" s="10"/>
    </x:row>
    <x:row r="33" ht="66" customHeight="1">
      <x:c r="A33" s="4" t="str">
        <x:v>תאילנד ויפן</x:v>
      </x:c>
      <x:c r="B33" s="4" t="str">
        <x:v>אסף</x:v>
      </x:c>
      <x:c r="C33" s="4" t="str">
        <x:v>טיסה ליעד</x:v>
      </x:c>
      <x:c r="D33" s="4" t="str">
        <x:v>מתועד</x:v>
      </x:c>
      <x:c r="E33" s="10" t="str">
        <x:v>7.12 TLV→DXB→BKK; EK2449/FZ1082 ו-EK374; TG682 ליפן ב-13.12</x:v>
      </x:c>
      <x:c r="F33" s="10" t="str">
        <x:v>https://docs.google.com/spreadsheets/d/1MY5bKO5o69hWSdqrAtM3iuK77mk-UCiXY4rBOzWqQbY/edit</x:v>
      </x:c>
      <x:c r="G33" s="10" t="str">
        <x:v>לאמת מול אישור ההזמנה העדכני</x:v>
      </x:c>
      <x:c r="H33" s="10"/>
    </x:row>
    <x:row r="34" ht="66" customHeight="1">
      <x:c r="A34" s="4" t="str">
        <x:v>תאילנד ויפן</x:v>
      </x:c>
      <x:c r="B34" s="4" t="str">
        <x:v>אסף</x:v>
      </x:c>
      <x:c r="C34" s="4" t="str">
        <x:v>מונית למלון</x:v>
      </x:c>
      <x:c r="D34" s="4" t="str">
        <x:v>לא נמצא אישור</x:v>
      </x:c>
      <x:c r="E34" s="10" t="str">
        <x:v>לא נמצא אישור במקורות שנבדקו; לברר אם כבר הוזמן</x:v>
      </x:c>
      <x:c r="F34" s="10" t="str">
        <x:v>https://docs.google.com/spreadsheets/d/1MY5bKO5o69hWSdqrAtM3iuK77mk-UCiXY4rBOzWqQbY/edit</x:v>
      </x:c>
      <x:c r="G34" s="10" t="str">
        <x:v>לאתר אישור או להזמין לאחר בירור</x:v>
      </x:c>
      <x:c r="H34" s="10"/>
    </x:row>
    <x:row r="35" ht="66" customHeight="1">
      <x:c r="A35" s="4" t="str">
        <x:v>תאילנד ויפן</x:v>
      </x:c>
      <x:c r="B35" s="4" t="str">
        <x:v>אסף</x:v>
      </x:c>
      <x:c r="C35" s="4" t="str">
        <x:v>מלון</x:v>
      </x:c>
      <x:c r="D35" s="4" t="str">
        <x:v>חלקי</x:v>
      </x:c>
      <x:c r="E35" s="10" t="str">
        <x:v>Chatrium Bangkok; Eastiny פטאיה ביומן; Grand Bach Tokyo 14–18.12. חסר תיעוד לינה 18–24.12</x:v>
      </x:c>
      <x:c r="F35" s="10" t="str">
        <x:v>https://docs.google.com/spreadsheets/d/1MY5bKO5o69hWSdqrAtM3iuK77mk-UCiXY4rBOzWqQbY/edit</x:v>
      </x:c>
      <x:c r="G35" s="10" t="str">
        <x:v>לאמת מול אישור ההזמנה העדכני</x:v>
      </x:c>
      <x:c r="H35" s="10"/>
    </x:row>
    <x:row r="36" ht="66" customHeight="1">
      <x:c r="A36" s="4" t="str">
        <x:v>תאילנד ויפן</x:v>
      </x:c>
      <x:c r="B36" s="4" t="str">
        <x:v>אסף</x:v>
      </x:c>
      <x:c r="C36" s="4" t="str">
        <x:v>כרטיס לכנס</x:v>
      </x:c>
      <x:c r="D36" s="4" t="str">
        <x:v>דורש אימות</x:v>
      </x:c>
      <x:c r="E36" s="10" t="str">
        <x:v>Affiliate World Asia 2026 ביומן; לא אותר כרטיס</x:v>
      </x:c>
      <x:c r="F36" s="10" t="str">
        <x:v>https://docs.google.com/spreadsheets/d/1MY5bKO5o69hWSdqrAtM3iuK77mk-UCiXY4rBOzWqQbY/edit</x:v>
      </x:c>
      <x:c r="G36" s="10" t="str">
        <x:v>לאמת מול אישור ההזמנה העדכני</x:v>
      </x:c>
      <x:c r="H36" s="10"/>
    </x:row>
    <x:row r="37" ht="66" customHeight="1">
      <x:c r="A37" s="4" t="str">
        <x:v>תאילנד ויפן</x:v>
      </x:c>
      <x:c r="B37" s="4" t="str">
        <x:v>אסף</x:v>
      </x:c>
      <x:c r="C37" s="4" t="str">
        <x:v>כרטיסים לאירועים</x:v>
      </x:c>
      <x:c r="D37" s="4" t="str">
        <x:v>דורש אימות</x:v>
      </x:c>
      <x:c r="E37" s="10" t="str">
        <x:v>Tomorrowland Thailand ביומן; לא אומת כרטיס אישי לאסף</x:v>
      </x:c>
      <x:c r="F37" s="10" t="str">
        <x:v>https://docs.google.com/spreadsheets/d/1MY5bKO5o69hWSdqrAtM3iuK77mk-UCiXY4rBOzWqQbY/edit</x:v>
      </x:c>
      <x:c r="G37" s="10" t="str">
        <x:v>לאמת מול אישור ההזמנה העדכני</x:v>
      </x:c>
      <x:c r="H37" s="10"/>
    </x:row>
    <x:row r="38" ht="66" customHeight="1">
      <x:c r="A38" s="4" t="str">
        <x:v>תאילנד ויפן</x:v>
      </x:c>
      <x:c r="B38" s="4" t="str">
        <x:v>אסף</x:v>
      </x:c>
      <x:c r="C38" s="4" t="str">
        <x:v>מונית לשדה בחו״ל</x:v>
      </x:c>
      <x:c r="D38" s="4" t="str">
        <x:v>לא נמצא אישור</x:v>
      </x:c>
      <x:c r="E38" s="10" t="str">
        <x:v>לא נמצא אישור במקורות שנבדקו; לברר אם כבר הוזמן</x:v>
      </x:c>
      <x:c r="F38" s="10" t="str">
        <x:v>https://docs.google.com/spreadsheets/d/1MY5bKO5o69hWSdqrAtM3iuK77mk-UCiXY4rBOzWqQbY/edit</x:v>
      </x:c>
      <x:c r="G38" s="10" t="str">
        <x:v>לאתר אישור או להזמין לאחר בירור</x:v>
      </x:c>
      <x:c r="H38" s="10"/>
    </x:row>
    <x:row r="39" ht="66" customHeight="1">
      <x:c r="A39" s="4" t="str">
        <x:v>תאילנד ויפן</x:v>
      </x:c>
      <x:c r="B39" s="4" t="str">
        <x:v>אסף</x:v>
      </x:c>
      <x:c r="C39" s="4" t="str">
        <x:v>טיסה חזרה</x:v>
      </x:c>
      <x:c r="D39" s="4" t="str">
        <x:v>מתועד</x:v>
      </x:c>
      <x:c r="E39" s="10" t="str">
        <x:v>25.12 HND→DXB→TLV; EK313 ו-EK2363/FZ1211</x:v>
      </x:c>
      <x:c r="F39" s="10" t="str">
        <x:v>https://docs.google.com/spreadsheets/d/1MY5bKO5o69hWSdqrAtM3iuK77mk-UCiXY4rBOzWqQbY/edit</x:v>
      </x:c>
      <x:c r="G39" s="10" t="str">
        <x:v>לאמת מול אישור ההזמנה העדכני</x:v>
      </x:c>
      <x:c r="H39" s="10"/>
    </x:row>
    <x:row r="40" ht="66" customHeight="1">
      <x:c r="A40" s="4" t="str">
        <x:v>תאילנד ויפן</x:v>
      </x:c>
      <x:c r="B40" s="4" t="str">
        <x:v>אסף</x:v>
      </x:c>
      <x:c r="C40" s="4" t="str">
        <x:v>ביטוח</x:v>
      </x:c>
      <x:c r="D40" s="4" t="str">
        <x:v>לא נמצא אישור</x:v>
      </x:c>
      <x:c r="E40" s="10" t="str">
        <x:v>תזכורת ביומן בלבד; לוודא כיסוי תאילנד ויפן לכל הנסיעה</x:v>
      </x:c>
      <x:c r="F40" s="10" t="str">
        <x:v>https://docs.google.com/spreadsheets/d/1MY5bKO5o69hWSdqrAtM3iuK77mk-UCiXY4rBOzWqQbY/edit</x:v>
      </x:c>
      <x:c r="G40" s="10" t="str">
        <x:v>לאמת מול אישור ההזמנה העדכני</x:v>
      </x:c>
      <x:c r="H40" s="10"/>
    </x:row>
    <x:row r="41" ht="66" customHeight="1">
      <x:c r="A41" s="4" t="str">
        <x:v>תאילנד ויפן</x:v>
      </x:c>
      <x:c r="B41" s="4" t="str">
        <x:v>אסף</x:v>
      </x:c>
      <x:c r="C41" s="4" t="str">
        <x:v>ארוחות</x:v>
      </x:c>
      <x:c r="D41" s="4" t="str">
        <x:v>דורש אימות</x:v>
      </x:c>
      <x:c r="E41" s="10" t="str">
        <x:v>ארוחות בטיסות ובמלונות לא אומתו</x:v>
      </x:c>
      <x:c r="F41" s="10" t="str">
        <x:v>https://docs.google.com/spreadsheets/d/1MY5bKO5o69hWSdqrAtM3iuK77mk-UCiXY4rBOzWqQbY/edit</x:v>
      </x:c>
      <x:c r="G41" s="10" t="str">
        <x:v>לאמת מול אישור ההזמנה העדכני</x:v>
      </x:c>
      <x:c r="H41" s="10"/>
    </x:row>
    <x:row r="42" ht="66" customHeight="1">
      <x:c r="A42" s="4" t="str">
        <x:v>פראג</x:v>
      </x:c>
      <x:c r="B42" s="4" t="str">
        <x:v>אסף ואודליה</x:v>
      </x:c>
      <x:c r="C42" s="4" t="str">
        <x:v>מונית לשדה בישראל</x:v>
      </x:c>
      <x:c r="D42" s="4" t="str">
        <x:v>לא נמצא אישור</x:v>
      </x:c>
      <x:c r="E42" s="10" t="str">
        <x:v>לא נמצא אישור במקורות שנבדקו; לברר אם כבר הוזמן</x:v>
      </x:c>
      <x:c r="F42" s="10" t="str">
        <x:v>https://docs.google.com/spreadsheets/d/1MY5bKO5o69hWSdqrAtM3iuK77mk-UCiXY4rBOzWqQbY/edit</x:v>
      </x:c>
      <x:c r="G42" s="10" t="str">
        <x:v>לאתר אישור או להזמין לאחר בירור</x:v>
      </x:c>
      <x:c r="H42" s="10"/>
    </x:row>
    <x:row r="43" ht="66" customHeight="1">
      <x:c r="A43" s="4" t="str">
        <x:v>פראג</x:v>
      </x:c>
      <x:c r="B43" s="4" t="str">
        <x:v>אסף ואודליה</x:v>
      </x:c>
      <x:c r="C43" s="4" t="str">
        <x:v>טיסה ליעד</x:v>
      </x:c>
      <x:c r="D43" s="4" t="str">
        <x:v>מתועד</x:v>
      </x:c>
      <x:c r="E43" s="10" t="str">
        <x:v>LY2521, 18.3 07:25–10:35; ZN87LP</x:v>
      </x:c>
      <x:c r="F43" s="10" t="str">
        <x:v>https://docs.google.com/spreadsheets/d/1MY5bKO5o69hWSdqrAtM3iuK77mk-UCiXY4rBOzWqQbY/edit</x:v>
      </x:c>
      <x:c r="G43" s="10" t="str">
        <x:v>לאמת מול אישור ההזמנה העדכני</x:v>
      </x:c>
      <x:c r="H43" s="10"/>
    </x:row>
    <x:row r="44" ht="66" customHeight="1">
      <x:c r="A44" s="4" t="str">
        <x:v>פראג</x:v>
      </x:c>
      <x:c r="B44" s="4" t="str">
        <x:v>אסף ואודליה</x:v>
      </x:c>
      <x:c r="C44" s="4" t="str">
        <x:v>מונית למלון</x:v>
      </x:c>
      <x:c r="D44" s="4" t="str">
        <x:v>לא נמצא אישור</x:v>
      </x:c>
      <x:c r="E44" s="10" t="str">
        <x:v>לא נמצא אישור במקורות שנבדקו; לברר אם כבר הוזמן</x:v>
      </x:c>
      <x:c r="F44" s="10" t="str">
        <x:v>https://docs.google.com/spreadsheets/d/1MY5bKO5o69hWSdqrAtM3iuK77mk-UCiXY4rBOzWqQbY/edit</x:v>
      </x:c>
      <x:c r="G44" s="10" t="str">
        <x:v>לאתר אישור או להזמין לאחר בירור</x:v>
      </x:c>
      <x:c r="H44" s="10"/>
    </x:row>
    <x:row r="45" ht="66" customHeight="1">
      <x:c r="A45" s="4" t="str">
        <x:v>פראג</x:v>
      </x:c>
      <x:c r="B45" s="4" t="str">
        <x:v>אסף ואודליה</x:v>
      </x:c>
      <x:c r="C45" s="4" t="str">
        <x:v>מלון</x:v>
      </x:c>
      <x:c r="D45" s="4" t="str">
        <x:v>אושר במסמך</x:v>
      </x:c>
      <x:c r="E45" s="10" t="str">
        <x:v>Hotel KINGS COURT, 18–21.3.2027; אישור 6443605520</x:v>
      </x:c>
      <x:c r="F45" s="10" t="str">
        <x:v>https://mail.google.com/mail/u/0/#all/19fb1501ad844f6d</x:v>
      </x:c>
      <x:c r="G45" s="10" t="str">
        <x:v>לאמת מול אישור ההזמנה העדכני</x:v>
      </x:c>
      <x:c r="H45" s="10"/>
    </x:row>
    <x:row r="46" ht="66" customHeight="1">
      <x:c r="A46" s="4" t="str">
        <x:v>פראג</x:v>
      </x:c>
      <x:c r="B46" s="4" t="str">
        <x:v>אסף ואודליה</x:v>
      </x:c>
      <x:c r="C46" s="4" t="str">
        <x:v>כרטיס לכנס</x:v>
      </x:c>
      <x:c r="D46" s="4" t="str">
        <x:v>דורש בירור</x:v>
      </x:c>
      <x:c r="E46" s="10" t="str">
        <x:v>לא תועד כנס; לברר אם הסעיף רלוונטי</x:v>
      </x:c>
      <x:c r="F46" s="10" t="str">
        <x:v>https://docs.google.com/spreadsheets/d/1MY5bKO5o69hWSdqrAtM3iuK77mk-UCiXY4rBOzWqQbY/edit</x:v>
      </x:c>
      <x:c r="G46" s="10" t="str">
        <x:v>לאמת מול אישור ההזמנה העדכני</x:v>
      </x:c>
      <x:c r="H46" s="10"/>
    </x:row>
    <x:row r="47" ht="66" customHeight="1">
      <x:c r="A47" s="4" t="str">
        <x:v>פראג</x:v>
      </x:c>
      <x:c r="B47" s="4" t="str">
        <x:v>אסף ואודליה</x:v>
      </x:c>
      <x:c r="C47" s="4" t="str">
        <x:v>כרטיסים לאירועים</x:v>
      </x:c>
      <x:c r="D47" s="4" t="str">
        <x:v>אושר במסמך</x:v>
      </x:c>
      <x:c r="E47" s="10" t="str">
        <x:v>Teddy Swims, 20.3.2027 20:00, O2 arena; 2 כרטיסים; הזמנה 2342633</x:v>
      </x:c>
      <x:c r="F47" s="10" t="str">
        <x:v>https://mail.google.com/mail/u/0/#all/19facee3e94ca328</x:v>
      </x:c>
      <x:c r="G47" s="10" t="str">
        <x:v>לשמור את כרטיסי הכניסה המצורפים</x:v>
      </x:c>
      <x:c r="H47" s="10"/>
    </x:row>
    <x:row r="48" ht="66" customHeight="1">
      <x:c r="A48" s="4" t="str">
        <x:v>פראג</x:v>
      </x:c>
      <x:c r="B48" s="4" t="str">
        <x:v>אסף ואודליה</x:v>
      </x:c>
      <x:c r="C48" s="4" t="str">
        <x:v>מונית לשדה בחו״ל</x:v>
      </x:c>
      <x:c r="D48" s="4" t="str">
        <x:v>לא נמצא אישור</x:v>
      </x:c>
      <x:c r="E48" s="10" t="str">
        <x:v>לא נמצא אישור במקורות שנבדקו; לברר אם כבר הוזמן</x:v>
      </x:c>
      <x:c r="F48" s="10" t="str">
        <x:v>https://docs.google.com/spreadsheets/d/1MY5bKO5o69hWSdqrAtM3iuK77mk-UCiXY4rBOzWqQbY/edit</x:v>
      </x:c>
      <x:c r="G48" s="10" t="str">
        <x:v>לאתר אישור או להזמין לאחר בירור</x:v>
      </x:c>
      <x:c r="H48" s="10"/>
    </x:row>
    <x:row r="49" ht="66" customHeight="1">
      <x:c r="A49" s="4" t="str">
        <x:v>פראג</x:v>
      </x:c>
      <x:c r="B49" s="4" t="str">
        <x:v>אסף ואודליה</x:v>
      </x:c>
      <x:c r="C49" s="4" t="str">
        <x:v>טיסה חזרה</x:v>
      </x:c>
      <x:c r="D49" s="4" t="str">
        <x:v>מתועד</x:v>
      </x:c>
      <x:c r="E49" s="10" t="str">
        <x:v>LY2522, 21.3 11:40–16:25; ZN87LP</x:v>
      </x:c>
      <x:c r="F49" s="10" t="str">
        <x:v>https://docs.google.com/spreadsheets/d/1MY5bKO5o69hWSdqrAtM3iuK77mk-UCiXY4rBOzWqQbY/edit</x:v>
      </x:c>
      <x:c r="G49" s="10" t="str">
        <x:v>לאמת מול אישור ההזמנה העדכני</x:v>
      </x:c>
      <x:c r="H49" s="10"/>
    </x:row>
    <x:row r="50" ht="66" customHeight="1">
      <x:c r="A50" s="4" t="str">
        <x:v>פראג</x:v>
      </x:c>
      <x:c r="B50" s="4" t="str">
        <x:v>אסף ואודליה</x:v>
      </x:c>
      <x:c r="C50" s="4" t="str">
        <x:v>ביטוח</x:v>
      </x:c>
      <x:c r="D50" s="4" t="str">
        <x:v>לא נמצא אישור</x:v>
      </x:c>
      <x:c r="E50" s="10" t="str">
        <x:v>תזכורת ביומן בלבד</x:v>
      </x:c>
      <x:c r="F50" s="10" t="str">
        <x:v>https://docs.google.com/spreadsheets/d/1MY5bKO5o69hWSdqrAtM3iuK77mk-UCiXY4rBOzWqQbY/edit</x:v>
      </x:c>
      <x:c r="G50" s="10" t="str">
        <x:v>לאמת מול אישור ההזמנה העדכני</x:v>
      </x:c>
      <x:c r="H50" s="10"/>
    </x:row>
    <x:row r="51" ht="66" customHeight="1">
      <x:c r="A51" s="4" t="str">
        <x:v>פראג</x:v>
      </x:c>
      <x:c r="B51" s="4" t="str">
        <x:v>אסף ואודליה</x:v>
      </x:c>
      <x:c r="C51" s="4" t="str">
        <x:v>ארוחות</x:v>
      </x:c>
      <x:c r="D51" s="4" t="str">
        <x:v>דורש אימות</x:v>
      </x:c>
      <x:c r="E51" s="10" t="str">
        <x:v>לבדוק ארוחה צמחונית לאודליה בשתי הטיסות, ארוחת בוקר ומסעדות</x:v>
      </x:c>
      <x:c r="F51" s="10" t="str">
        <x:v>https://docs.google.com/spreadsheets/d/1MY5bKO5o69hWSdqrAtM3iuK77mk-UCiXY4rBOzWqQbY/edit</x:v>
      </x:c>
      <x:c r="G51" s="10" t="str">
        <x:v>לאמת מול אישור ההזמנה העדכני</x:v>
      </x:c>
      <x:c r="H51" s="10"/>
    </x:row>
    <x:row r="52" ht="66" customHeight="1">
      <x:c r="A52" s="4" t="str">
        <x:v>בוקרשט (עבר)</x:v>
      </x:c>
      <x:c r="B52" s="4" t="str">
        <x:v>אודליה</x:v>
      </x:c>
      <x:c r="C52" s="4" t="str">
        <x:v>מונית לשדה בישראל</x:v>
      </x:c>
      <x:c r="D52" s="4" t="str">
        <x:v>נסיעת עבר</x:v>
      </x:c>
      <x:c r="E52" s="10" t="str">
        <x:v>לא נערכה בדיקה היסטורית של סעיף זה</x:v>
      </x:c>
      <x:c r="F52" s="10" t="str">
        <x:v>https://docs.google.com/spreadsheets/d/1MY5bKO5o69hWSdqrAtM3iuK77mk-UCiXY4rBOzWqQbY/edit</x:v>
      </x:c>
      <x:c r="G52" s="10" t="str">
        <x:v>לשמור בארכיון</x:v>
      </x:c>
      <x:c r="H52" s="10"/>
    </x:row>
    <x:row r="53" ht="66" customHeight="1">
      <x:c r="A53" s="4" t="str">
        <x:v>בוקרשט (עבר)</x:v>
      </x:c>
      <x:c r="B53" s="4" t="str">
        <x:v>אודליה</x:v>
      </x:c>
      <x:c r="C53" s="4" t="str">
        <x:v>טיסה ליעד</x:v>
      </x:c>
      <x:c r="D53" s="4" t="str">
        <x:v>מתועד</x:v>
      </x:c>
      <x:c r="E53" s="10" t="str">
        <x:v>LY573, 15.9.2026; XE586U</x:v>
      </x:c>
      <x:c r="F53" s="10" t="str">
        <x:v>https://docs.google.com/spreadsheets/d/1MY5bKO5o69hWSdqrAtM3iuK77mk-UCiXY4rBOzWqQbY/edit</x:v>
      </x:c>
      <x:c r="G53" s="10" t="str">
        <x:v>לאמת מול אישור ההזמנה העדכני</x:v>
      </x:c>
      <x:c r="H53" s="10"/>
    </x:row>
    <x:row r="54" ht="66" customHeight="1">
      <x:c r="A54" s="4" t="str">
        <x:v>בוקרשט (עבר)</x:v>
      </x:c>
      <x:c r="B54" s="4" t="str">
        <x:v>אודליה</x:v>
      </x:c>
      <x:c r="C54" s="4" t="str">
        <x:v>מונית למלון</x:v>
      </x:c>
      <x:c r="D54" s="4" t="str">
        <x:v>נסיעת עבר</x:v>
      </x:c>
      <x:c r="E54" s="10" t="str">
        <x:v>לא נערכה בדיקה היסטורית של סעיף זה</x:v>
      </x:c>
      <x:c r="F54" s="10" t="str">
        <x:v>https://docs.google.com/spreadsheets/d/1MY5bKO5o69hWSdqrAtM3iuK77mk-UCiXY4rBOzWqQbY/edit</x:v>
      </x:c>
      <x:c r="G54" s="10" t="str">
        <x:v>לשמור בארכיון</x:v>
      </x:c>
      <x:c r="H54" s="10"/>
    </x:row>
    <x:row r="55" ht="66" customHeight="1">
      <x:c r="A55" s="4" t="str">
        <x:v>בוקרשט (עבר)</x:v>
      </x:c>
      <x:c r="B55" s="4" t="str">
        <x:v>אודליה</x:v>
      </x:c>
      <x:c r="C55" s="4" t="str">
        <x:v>מלון</x:v>
      </x:c>
      <x:c r="D55" s="4" t="str">
        <x:v>נסיעת עבר</x:v>
      </x:c>
      <x:c r="E55" s="10" t="str">
        <x:v>לא נערכה בדיקה היסטורית של סעיף זה</x:v>
      </x:c>
      <x:c r="F55" s="10" t="str">
        <x:v>https://docs.google.com/spreadsheets/d/1MY5bKO5o69hWSdqrAtM3iuK77mk-UCiXY4rBOzWqQbY/edit</x:v>
      </x:c>
      <x:c r="G55" s="10" t="str">
        <x:v>לשמור בארכיון</x:v>
      </x:c>
      <x:c r="H55" s="10"/>
    </x:row>
    <x:row r="56" ht="66" customHeight="1">
      <x:c r="A56" s="4" t="str">
        <x:v>בוקרשט (עבר)</x:v>
      </x:c>
      <x:c r="B56" s="4" t="str">
        <x:v>אודליה</x:v>
      </x:c>
      <x:c r="C56" s="4" t="str">
        <x:v>כרטיס לכנס</x:v>
      </x:c>
      <x:c r="D56" s="4" t="str">
        <x:v>נסיעת עבר</x:v>
      </x:c>
      <x:c r="E56" s="10" t="str">
        <x:v>לא נערכה בדיקה היסטורית של סעיף זה</x:v>
      </x:c>
      <x:c r="F56" s="10" t="str">
        <x:v>https://docs.google.com/spreadsheets/d/1MY5bKO5o69hWSdqrAtM3iuK77mk-UCiXY4rBOzWqQbY/edit</x:v>
      </x:c>
      <x:c r="G56" s="10" t="str">
        <x:v>לשמור בארכיון</x:v>
      </x:c>
      <x:c r="H56" s="10"/>
    </x:row>
    <x:row r="57" ht="66" customHeight="1">
      <x:c r="A57" s="4" t="str">
        <x:v>בוקרשט (עבר)</x:v>
      </x:c>
      <x:c r="B57" s="4" t="str">
        <x:v>אודליה</x:v>
      </x:c>
      <x:c r="C57" s="4" t="str">
        <x:v>כרטיסים לאירועים</x:v>
      </x:c>
      <x:c r="D57" s="4" t="str">
        <x:v>נסיעת עבר</x:v>
      </x:c>
      <x:c r="E57" s="10" t="str">
        <x:v>לא נערכה בדיקה היסטורית של סעיף זה</x:v>
      </x:c>
      <x:c r="F57" s="10" t="str">
        <x:v>https://docs.google.com/spreadsheets/d/1MY5bKO5o69hWSdqrAtM3iuK77mk-UCiXY4rBOzWqQbY/edit</x:v>
      </x:c>
      <x:c r="G57" s="10" t="str">
        <x:v>לשמור בארכיון</x:v>
      </x:c>
      <x:c r="H57" s="10"/>
    </x:row>
    <x:row r="58" ht="66" customHeight="1">
      <x:c r="A58" s="4" t="str">
        <x:v>בוקרשט (עבר)</x:v>
      </x:c>
      <x:c r="B58" s="4" t="str">
        <x:v>אודליה</x:v>
      </x:c>
      <x:c r="C58" s="4" t="str">
        <x:v>מונית לשדה בחו״ל</x:v>
      </x:c>
      <x:c r="D58" s="4" t="str">
        <x:v>נסיעת עבר</x:v>
      </x:c>
      <x:c r="E58" s="10" t="str">
        <x:v>לא נערכה בדיקה היסטורית של סעיף זה</x:v>
      </x:c>
      <x:c r="F58" s="10" t="str">
        <x:v>https://docs.google.com/spreadsheets/d/1MY5bKO5o69hWSdqrAtM3iuK77mk-UCiXY4rBOzWqQbY/edit</x:v>
      </x:c>
      <x:c r="G58" s="10" t="str">
        <x:v>לשמור בארכיון</x:v>
      </x:c>
      <x:c r="H58" s="10"/>
    </x:row>
    <x:row r="59" ht="66" customHeight="1">
      <x:c r="A59" s="4" t="str">
        <x:v>בוקרשט (עבר)</x:v>
      </x:c>
      <x:c r="B59" s="4" t="str">
        <x:v>אודליה</x:v>
      </x:c>
      <x:c r="C59" s="4" t="str">
        <x:v>טיסה חזרה</x:v>
      </x:c>
      <x:c r="D59" s="4" t="str">
        <x:v>מתועד</x:v>
      </x:c>
      <x:c r="E59" s="10" t="str">
        <x:v>LY574, 20.9.2026; XE586U</x:v>
      </x:c>
      <x:c r="F59" s="10" t="str">
        <x:v>https://docs.google.com/spreadsheets/d/1MY5bKO5o69hWSdqrAtM3iuK77mk-UCiXY4rBOzWqQbY/edit</x:v>
      </x:c>
      <x:c r="G59" s="10" t="str">
        <x:v>לאמת מול אישור ההזמנה העדכני</x:v>
      </x:c>
      <x:c r="H59" s="10"/>
    </x:row>
    <x:row r="60" ht="66" customHeight="1">
      <x:c r="A60" s="4" t="str">
        <x:v>בוקרשט (עבר)</x:v>
      </x:c>
      <x:c r="B60" s="4" t="str">
        <x:v>אודליה</x:v>
      </x:c>
      <x:c r="C60" s="4" t="str">
        <x:v>ביטוח</x:v>
      </x:c>
      <x:c r="D60" s="4" t="str">
        <x:v>נסיעת עבר</x:v>
      </x:c>
      <x:c r="E60" s="10" t="str">
        <x:v>לא נערכה בדיקה היסטורית של סעיף זה</x:v>
      </x:c>
      <x:c r="F60" s="10" t="str">
        <x:v>https://docs.google.com/spreadsheets/d/1MY5bKO5o69hWSdqrAtM3iuK77mk-UCiXY4rBOzWqQbY/edit</x:v>
      </x:c>
      <x:c r="G60" s="10" t="str">
        <x:v>לשמור בארכיון</x:v>
      </x:c>
      <x:c r="H60" s="10"/>
    </x:row>
    <x:row r="61" ht="66" customHeight="1">
      <x:c r="A61" s="4" t="str">
        <x:v>בוקרשט (עבר)</x:v>
      </x:c>
      <x:c r="B61" s="4" t="str">
        <x:v>אודליה</x:v>
      </x:c>
      <x:c r="C61" s="4" t="str">
        <x:v>ארוחות</x:v>
      </x:c>
      <x:c r="D61" s="4" t="str">
        <x:v>נסיעת עבר</x:v>
      </x:c>
      <x:c r="E61" s="10" t="str">
        <x:v>לא נערכה בדיקה היסטורית של סעיף זה</x:v>
      </x:c>
      <x:c r="F61" s="10" t="str">
        <x:v>https://docs.google.com/spreadsheets/d/1MY5bKO5o69hWSdqrAtM3iuK77mk-UCiXY4rBOzWqQbY/edit</x:v>
      </x:c>
      <x:c r="G61" s="10" t="str">
        <x:v>לשמור בארכיון</x:v>
      </x:c>
      <x:c r="H61" s="10"/>
    </x:row>
  </x:sheetData>
  <x:conditionalFormatting sqref="D2:D61">
    <x:cfRule type="containsText" dxfId="4" priority="1" operator="containsText" text="לא נמצא אישור"/>
    <x:cfRule type="containsText" dxfId="5" priority="2" operator="containsText" text="דורש אימות"/>
    <x:cfRule type="containsText" dxfId="6" priority="3" operator="containsText" text="דורש בירור"/>
    <x:cfRule type="containsText" dxfId="7" priority="4" operator="containsText" text="חלקי"/>
  </x:conditionalFormatting>
  <x:dataValidations count="1">
    <x:dataValidation type="list" sqref="D2:D61">
      <x:formula1>"לא נמצא אישור,דורש בירור,דורש אימות,חלקי,מתועד,אושר במסמך,לא נדרש,נסיעת עבר"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f4d188558a404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8" hidden="0" customWidth="1"/>
    <x:col min="15" max="15" width="48" hidden="0" customWidth="1"/>
    <x:col min="16" max="16" width="22" hidden="0" customWidth="1"/>
    <x:col min="17" max="17" width="22" hidden="0" customWidth="1"/>
  </x:cols>
  <x:sheetData>
    <x:row r="1" ht="42" customHeight="1">
      <x:c r="A1" s="8" t="str">
        <x:v>נוסע/ים</x:v>
      </x:c>
      <x:c r="B1" s="8" t="str">
        <x:v>נסיעה</x:v>
      </x:c>
      <x:c r="C1" s="8" t="str">
        <x:v>מספר טיסה</x:v>
      </x:c>
      <x:c r="D1" s="8" t="str">
        <x:v>תאריך המראה</x:v>
      </x:c>
      <x:c r="E1" s="8" t="str">
        <x:v>מוצא</x:v>
      </x:c>
      <x:c r="F1" s="8" t="str">
        <x:v>שעת המראה</x:v>
      </x:c>
      <x:c r="G1" s="8" t="str">
        <x:v>תאריך נחיתה</x:v>
      </x:c>
      <x:c r="H1" s="8" t="str">
        <x:v>יעד</x:v>
      </x:c>
      <x:c r="I1" s="8" t="str">
        <x:v>שעת נחיתה</x:v>
      </x:c>
      <x:c r="J1" s="8" t="str">
        <x:v>מחלקה</x:v>
      </x:c>
      <x:c r="K1" s="8" t="str">
        <x:v>מושב</x:v>
      </x:c>
      <x:c r="L1" s="8" t="str">
        <x:v>כבודה</x:v>
      </x:c>
      <x:c r="M1" s="8" t="str">
        <x:v>קוד הזמנה</x:v>
      </x:c>
      <x:c r="N1" s="8" t="str">
        <x:v>ארוחה לפי המקור</x:v>
      </x:c>
      <x:c r="O1" s="8" t="str">
        <x:v>הערות</x:v>
      </x:c>
      <x:c r="P1" s="8" t="str">
        <x:v>ניהול הזמנה</x:v>
      </x:c>
      <x:c r="Q1" s="8" t="str">
        <x:v>ניהול אצל המפעיל</x:v>
      </x:c>
    </x:row>
    <x:row r="2" ht="60" customHeight="1">
      <x:c r="A2" s="4" t="str">
        <x:v>אסף</x:v>
      </x:c>
      <x:c r="B2" s="4" t="str">
        <x:v>רומא</x:v>
      </x:c>
      <x:c r="C2" s="4" t="str">
        <x:v>EL AL LY383</x:v>
      </x:c>
      <x:c r="D2" s="5" t="d">
        <x:v>2026-11-02T00:00:00.000Z</x:v>
      </x:c>
      <x:c r="E2" s="4" t="str">
        <x:v>תל אביב</x:v>
      </x:c>
      <x:c r="F2" s="4" t="str">
        <x:v>18:15:00</x:v>
      </x:c>
      <x:c r="G2" s="5" t="d">
        <x:v>2026-11-02T00:00:00.000Z</x:v>
      </x:c>
      <x:c r="H2" s="4" t="str">
        <x:v>רומא Fiumicino</x:v>
      </x:c>
      <x:c r="I2" s="4" t="str">
        <x:v>21:00:00</x:v>
      </x:c>
      <x:c r="J2" s="4" t="str">
        <x:v>Economy Classic</x:v>
      </x:c>
      <x:c r="K2" s="4" t="str">
        <x:v>24K</x:v>
      </x:c>
      <x:c r="L2" s="4"/>
      <x:c r="M2" s="4"/>
      <x:c r="N2" s="10" t="str">
        <x:v>לא מאומתת</x:v>
      </x:c>
      <x:c r="O2" s="10"/>
      <x:c r="P2" s="4" t="e">
        <x:f>HYPERLINK("https://booking.elal.com/manage/login","ניהול הזמנה")</x:f>
        <x:v>HYPERLINK is not implemented. linkLocation=https://booking.elal.com/manage/login, friendlyName=ניהול הזמנה</x:v>
      </x:c>
      <x:c r="Q2" s="4"/>
    </x:row>
    <x:row r="3" ht="60" customHeight="1">
      <x:c r="A3" s="4" t="str">
        <x:v>אסף</x:v>
      </x:c>
      <x:c r="B3" s="4" t="str">
        <x:v>רומא</x:v>
      </x:c>
      <x:c r="C3" s="4" t="str">
        <x:v>EL AL LY384</x:v>
      </x:c>
      <x:c r="D3" s="5" t="d">
        <x:v>2026-11-07T00:00:00.000Z</x:v>
      </x:c>
      <x:c r="E3" s="4" t="str">
        <x:v>רומא</x:v>
      </x:c>
      <x:c r="F3" s="4" t="str">
        <x:v>21:55:00</x:v>
      </x:c>
      <x:c r="G3" s="5" t="d">
        <x:v>2026-11-08T00:00:00.000Z</x:v>
      </x:c>
      <x:c r="H3" s="4" t="str">
        <x:v>תל אביב</x:v>
      </x:c>
      <x:c r="I3" s="4" t="str">
        <x:v>02:15:00</x:v>
      </x:c>
      <x:c r="J3" s="4" t="str">
        <x:v>Business</x:v>
      </x:c>
      <x:c r="K3" s="4" t="str">
        <x:v>3A</x:v>
      </x:c>
      <x:c r="L3" s="4" t="str">
        <x:v>2 מזוודות</x:v>
      </x:c>
      <x:c r="M3" s="4"/>
      <x:c r="N3" s="10" t="str">
        <x:v>לא מאומתת</x:v>
      </x:c>
      <x:c r="O3" s="10" t="str">
        <x:v>נחיתה ביום הבא</x:v>
      </x:c>
      <x:c r="P3" s="4" t="e">
        <x:f>HYPERLINK("https://booking.elal.com/manage/login","ניהול הזמנה")</x:f>
        <x:v>HYPERLINK is not implemented. linkLocation=https://booking.elal.com/manage/login, friendlyName=ניהול הזמנה</x:v>
      </x:c>
      <x:c r="Q3" s="4"/>
    </x:row>
    <x:row r="4" ht="60" customHeight="1">
      <x:c r="A4" s="4" t="str">
        <x:v>אסף</x:v>
      </x:c>
      <x:c r="B4" s="4" t="str">
        <x:v>תאילנד ויפן</x:v>
      </x:c>
      <x:c r="C4" s="4" t="str">
        <x:v>EK2449 / FZ1082</x:v>
      </x:c>
      <x:c r="D4" s="5" t="d">
        <x:v>2026-12-07T00:00:00.000Z</x:v>
      </x:c>
      <x:c r="E4" s="4" t="str">
        <x:v>תל אביב</x:v>
      </x:c>
      <x:c r="F4" s="4" t="str">
        <x:v>15:10:00</x:v>
      </x:c>
      <x:c r="G4" s="5" t="d">
        <x:v>2026-12-07T00:00:00.000Z</x:v>
      </x:c>
      <x:c r="H4" s="4" t="str">
        <x:v>דובאי</x:v>
      </x:c>
      <x:c r="I4" s="4" t="str">
        <x:v>20:15:00</x:v>
      </x:c>
      <x:c r="J4" s="4" t="str">
        <x:v>Business Saver</x:v>
      </x:c>
      <x:c r="K4" s="4"/>
      <x:c r="L4" s="4" t="str">
        <x:v>40 ק"ג</x:v>
      </x:c>
      <x:c r="M4" s="4"/>
      <x:c r="N4" s="10" t="str">
        <x:v>לא מאומתת</x:v>
      </x:c>
      <x:c r="O4" s="10" t="str">
        <x:v>שני מספרי הטיסה כפי שנרשמו במקור</x:v>
      </x:c>
      <x:c r="P4" s="4" t="e">
        <x:f>HYPERLINK("https://www.emirates.com/english/manage-booking/","ניהול הזמנה")</x:f>
        <x:v>HYPERLINK is not implemented. linkLocation=https://www.emirates.com/english/manage-booking/, friendlyName=ניהול הזמנה</x:v>
      </x:c>
      <x:c r="Q4" s="4" t="e">
        <x:f>HYPERLINK("https://www.flydubai.com/en/book-and-manage/view-or-change-booking/","ניהול flydubai")</x:f>
        <x:v>HYPERLINK is not implemented. linkLocation=https://www.flydubai.com/en/book-and-manage/view-or-change-booking/, friendlyName=ניהול flydubai</x:v>
      </x:c>
    </x:row>
    <x:row r="5" ht="60" customHeight="1">
      <x:c r="A5" s="4" t="str">
        <x:v>אסף</x:v>
      </x:c>
      <x:c r="B5" s="4" t="str">
        <x:v>תאילנד ויפן</x:v>
      </x:c>
      <x:c r="C5" s="4" t="str">
        <x:v>EK374</x:v>
      </x:c>
      <x:c r="D5" s="5" t="d">
        <x:v>2026-12-07T00:00:00.000Z</x:v>
      </x:c>
      <x:c r="E5" s="4" t="str">
        <x:v>דובאי</x:v>
      </x:c>
      <x:c r="F5" s="4" t="str">
        <x:v>22:35:00</x:v>
      </x:c>
      <x:c r="G5" s="5" t="d">
        <x:v>2026-12-08T00:00:00.000Z</x:v>
      </x:c>
      <x:c r="H5" s="4" t="str">
        <x:v>בנגקוק</x:v>
      </x:c>
      <x:c r="I5" s="4" t="str">
        <x:v>07:35:00</x:v>
      </x:c>
      <x:c r="J5" s="4" t="str">
        <x:v>Business Saver</x:v>
      </x:c>
      <x:c r="K5" s="4" t="str">
        <x:v>10A</x:v>
      </x:c>
      <x:c r="L5" s="4" t="str">
        <x:v>40 ק"ג</x:v>
      </x:c>
      <x:c r="M5" s="4"/>
      <x:c r="N5" s="10" t="str">
        <x:v>לא מאומתת</x:v>
      </x:c>
      <x:c r="O5" s="10" t="str">
        <x:v>נחיתה ביום הבא</x:v>
      </x:c>
      <x:c r="P5" s="4" t="e">
        <x:f>HYPERLINK("https://www.emirates.com/english/manage-booking/","ניהול הזמנה")</x:f>
        <x:v>HYPERLINK is not implemented. linkLocation=https://www.emirates.com/english/manage-booking/, friendlyName=ניהול הזמנה</x:v>
      </x:c>
      <x:c r="Q5" s="4"/>
    </x:row>
    <x:row r="6" ht="60" customHeight="1">
      <x:c r="A6" s="4" t="str">
        <x:v>אסף</x:v>
      </x:c>
      <x:c r="B6" s="4" t="str">
        <x:v>תאילנד ויפן</x:v>
      </x:c>
      <x:c r="C6" s="4" t="str">
        <x:v>Thai Airways TG682</x:v>
      </x:c>
      <x:c r="D6" s="5" t="d">
        <x:v>2026-12-13T00:00:00.000Z</x:v>
      </x:c>
      <x:c r="E6" s="4" t="str">
        <x:v>בנגקוק BKK</x:v>
      </x:c>
      <x:c r="F6" s="4" t="str">
        <x:v>23:15:00</x:v>
      </x:c>
      <x:c r="G6" s="5" t="d">
        <x:v>2026-12-14T00:00:00.000Z</x:v>
      </x:c>
      <x:c r="H6" s="4" t="str">
        <x:v>טוקיו Haneda</x:v>
      </x:c>
      <x:c r="I6" s="4" t="str">
        <x:v>06:55:00</x:v>
      </x:c>
      <x:c r="J6" s="4" t="str">
        <x:v>Business (D)</x:v>
      </x:c>
      <x:c r="K6" s="4" t="str">
        <x:v>12K</x:v>
      </x:c>
      <x:c r="L6" s="4" t="str">
        <x:v>2PC</x:v>
      </x:c>
      <x:c r="M6" s="4" t="str">
        <x:v>EXTEH6</x:v>
      </x:c>
      <x:c r="N6" s="10" t="str">
        <x:v>לא מאומתת</x:v>
      </x:c>
      <x:c r="O6" s="10" t="str">
        <x:v>נחיתה ביום הבא; Haneda טרמינל 3; Confirmed במקור; באותו יום מסתיים Tomorrowland בפטאיה</x:v>
      </x:c>
      <x:c r="P6" s="4" t="e">
        <x:f>HYPERLINK("https://www.thaiairways.com/en-us/manage/my-booking/","ניהול הזמנה")</x:f>
        <x:v>HYPERLINK is not implemented. linkLocation=https://www.thaiairways.com/en-us/manage/my-booking/, friendlyName=ניהול הזמנה</x:v>
      </x:c>
      <x:c r="Q6" s="4"/>
    </x:row>
    <x:row r="7" ht="60" customHeight="1">
      <x:c r="A7" s="4" t="str">
        <x:v>אסף</x:v>
      </x:c>
      <x:c r="B7" s="4" t="str">
        <x:v>תאילנד ויפן</x:v>
      </x:c>
      <x:c r="C7" s="4" t="str">
        <x:v>EK313</x:v>
      </x:c>
      <x:c r="D7" s="5" t="d">
        <x:v>2026-12-25T00:00:00.000Z</x:v>
      </x:c>
      <x:c r="E7" s="4" t="str">
        <x:v>טוקיו Haneda</x:v>
      </x:c>
      <x:c r="F7" s="4" t="str">
        <x:v>00:05:00</x:v>
      </x:c>
      <x:c r="G7" s="5" t="d">
        <x:v>2026-12-25T00:00:00.000Z</x:v>
      </x:c>
      <x:c r="H7" s="4" t="str">
        <x:v>דובאי</x:v>
      </x:c>
      <x:c r="I7" s="4" t="str">
        <x:v>06:55:00</x:v>
      </x:c>
      <x:c r="J7" s="4" t="str">
        <x:v>Business Saver</x:v>
      </x:c>
      <x:c r="K7" s="4" t="str">
        <x:v>04J</x:v>
      </x:c>
      <x:c r="L7" s="4"/>
      <x:c r="M7" s="4"/>
      <x:c r="N7" s="10" t="str">
        <x:v>לא מאומתת</x:v>
      </x:c>
      <x:c r="O7" s="10" t="str">
        <x:v>המראה בחצות שבין 24 ל-25 בדצמבר</x:v>
      </x:c>
      <x:c r="P7" s="4" t="e">
        <x:f>HYPERLINK("https://www.emirates.com/english/manage-booking/","ניהול הזמנה")</x:f>
        <x:v>HYPERLINK is not implemented. linkLocation=https://www.emirates.com/english/manage-booking/, friendlyName=ניהול הזמנה</x:v>
      </x:c>
      <x:c r="Q7" s="4"/>
    </x:row>
    <x:row r="8" ht="60" customHeight="1">
      <x:c r="A8" s="4" t="str">
        <x:v>אסף</x:v>
      </x:c>
      <x:c r="B8" s="4" t="str">
        <x:v>תאילנד ויפן</x:v>
      </x:c>
      <x:c r="C8" s="4" t="str">
        <x:v>EK2363 / FZ1211</x:v>
      </x:c>
      <x:c r="D8" s="5" t="d">
        <x:v>2026-12-25T00:00:00.000Z</x:v>
      </x:c>
      <x:c r="E8" s="4" t="str">
        <x:v>דובאי</x:v>
      </x:c>
      <x:c r="F8" s="4" t="str">
        <x:v>09:55:00</x:v>
      </x:c>
      <x:c r="G8" s="5" t="d">
        <x:v>2026-12-25T00:00:00.000Z</x:v>
      </x:c>
      <x:c r="H8" s="4" t="str">
        <x:v>תל אביב</x:v>
      </x:c>
      <x:c r="I8" s="4" t="str">
        <x:v>11:45:00</x:v>
      </x:c>
      <x:c r="J8" s="4" t="str">
        <x:v>Business Saver</x:v>
      </x:c>
      <x:c r="K8" s="4"/>
      <x:c r="L8" s="4"/>
      <x:c r="M8" s="4"/>
      <x:c r="N8" s="10" t="str">
        <x:v>לא מאומתת</x:v>
      </x:c>
      <x:c r="O8" s="10" t="str">
        <x:v>שני מספרי הטיסה כפי שנרשמו במקור</x:v>
      </x:c>
      <x:c r="P8" s="4" t="e">
        <x:f>HYPERLINK("https://www.emirates.com/english/manage-booking/","ניהול הזמנה")</x:f>
        <x:v>HYPERLINK is not implemented. linkLocation=https://www.emirates.com/english/manage-booking/, friendlyName=ניהול הזמנה</x:v>
      </x:c>
      <x:c r="Q8" s="4" t="e">
        <x:f>HYPERLINK("https://www.flydubai.com/en/book-and-manage/view-or-change-booking/","ניהול flydubai")</x:f>
        <x:v>HYPERLINK is not implemented. linkLocation=https://www.flydubai.com/en/book-and-manage/view-or-change-booking/, friendlyName=ניהול flydubai</x:v>
      </x:c>
    </x:row>
    <x:row r="9" ht="60" customHeight="1">
      <x:c r="A9" s="4" t="str">
        <x:v>אסף ואודליה</x:v>
      </x:c>
      <x:c r="B9" s="4" t="str">
        <x:v>פראג</x:v>
      </x:c>
      <x:c r="C9" s="4" t="str">
        <x:v>EL AL LY2521</x:v>
      </x:c>
      <x:c r="D9" s="5" t="d">
        <x:v>2027-03-18T00:00:00.000Z</x:v>
      </x:c>
      <x:c r="E9" s="4" t="str">
        <x:v>תל אביב</x:v>
      </x:c>
      <x:c r="F9" s="4" t="str">
        <x:v>07:25:00</x:v>
      </x:c>
      <x:c r="G9" s="5" t="d">
        <x:v>2027-03-18T00:00:00.000Z</x:v>
      </x:c>
      <x:c r="H9" s="4" t="str">
        <x:v>פראג</x:v>
      </x:c>
      <x:c r="I9" s="4" t="str">
        <x:v>10:35:00</x:v>
      </x:c>
      <x:c r="J9" s="4" t="str">
        <x:v>Business (Z)</x:v>
      </x:c>
      <x:c r="K9" s="4" t="str">
        <x:v>אסף 4A; אודליה 4C</x:v>
      </x:c>
      <x:c r="L9" s="4" t="str">
        <x:v>2PC לכל נוסע</x:v>
      </x:c>
      <x:c r="M9" s="4" t="str">
        <x:v>ZN87LP</x:v>
      </x:c>
      <x:c r="N9" s="10" t="str">
        <x:v>לא מאומתת; לבדוק צמחונית לאודליה</x:v>
      </x:c>
      <x:c r="O9" s="10"/>
      <x:c r="P9" s="4" t="e">
        <x:f>HYPERLINK("https://booking.elal.com/manage/login","ניהול הזמנה")</x:f>
        <x:v>HYPERLINK is not implemented. linkLocation=https://booking.elal.com/manage/login, friendlyName=ניהול הזמנה</x:v>
      </x:c>
      <x:c r="Q9" s="4"/>
    </x:row>
    <x:row r="10" ht="60" customHeight="1">
      <x:c r="A10" s="4" t="str">
        <x:v>אסף ואודליה</x:v>
      </x:c>
      <x:c r="B10" s="4" t="str">
        <x:v>פראג</x:v>
      </x:c>
      <x:c r="C10" s="4" t="str">
        <x:v>EL AL LY2522</x:v>
      </x:c>
      <x:c r="D10" s="5" t="d">
        <x:v>2027-03-21T00:00:00.000Z</x:v>
      </x:c>
      <x:c r="E10" s="4" t="str">
        <x:v>פראג</x:v>
      </x:c>
      <x:c r="F10" s="4" t="str">
        <x:v>11:40:00</x:v>
      </x:c>
      <x:c r="G10" s="5" t="d">
        <x:v>2027-03-21T00:00:00.000Z</x:v>
      </x:c>
      <x:c r="H10" s="4" t="str">
        <x:v>תל אביב</x:v>
      </x:c>
      <x:c r="I10" s="4" t="str">
        <x:v>16:25:00</x:v>
      </x:c>
      <x:c r="J10" s="4" t="str">
        <x:v>Business (J)</x:v>
      </x:c>
      <x:c r="K10" s="4" t="str">
        <x:v>אסף 4C; אודליה 4A</x:v>
      </x:c>
      <x:c r="L10" s="4" t="str">
        <x:v>2PC לכל נוסע</x:v>
      </x:c>
      <x:c r="M10" s="4" t="str">
        <x:v>ZN87LP</x:v>
      </x:c>
      <x:c r="N10" s="10" t="str">
        <x:v>לא מאומתת; לבדוק צמחונית לאודליה</x:v>
      </x:c>
      <x:c r="O10" s="10"/>
      <x:c r="P10" s="4" t="e">
        <x:f>HYPERLINK("https://booking.elal.com/manage/login","ניהול הזמנה")</x:f>
        <x:v>HYPERLINK is not implemented. linkLocation=https://booking.elal.com/manage/login, friendlyName=ניהול הזמנה</x:v>
      </x:c>
      <x:c r="Q10" s="4"/>
    </x:row>
    <x:row r="11" ht="60" customHeight="1">
      <x:c r="A11" s="4" t="str">
        <x:v>אודליה</x:v>
      </x:c>
      <x:c r="B11" s="4" t="str">
        <x:v>בוקרשט (עבר)</x:v>
      </x:c>
      <x:c r="C11" s="4" t="str">
        <x:v>EL AL LY573</x:v>
      </x:c>
      <x:c r="D11" s="5" t="d">
        <x:v>2026-09-15T00:00:00.000Z</x:v>
      </x:c>
      <x:c r="E11" s="4" t="str">
        <x:v>תל אביב</x:v>
      </x:c>
      <x:c r="F11" s="4" t="str">
        <x:v>06:30:00</x:v>
      </x:c>
      <x:c r="G11" s="5" t="d">
        <x:v>2026-09-15T00:00:00.000Z</x:v>
      </x:c>
      <x:c r="H11" s="4" t="str">
        <x:v>בוקרשט</x:v>
      </x:c>
      <x:c r="I11" s="4" t="str">
        <x:v>09:10:00</x:v>
      </x:c>
      <x:c r="J11" s="4" t="str">
        <x:v>Business (J)</x:v>
      </x:c>
      <x:c r="K11" s="4" t="str">
        <x:v>2C</x:v>
      </x:c>
      <x:c r="L11" s="4" t="str">
        <x:v>2PC</x:v>
      </x:c>
      <x:c r="M11" s="4" t="str">
        <x:v>XE586U</x:v>
      </x:c>
      <x:c r="N11" s="10"/>
      <x:c r="O11" s="10" t="str">
        <x:v>נסיעה שכבר התקיימה לפי המקור</x:v>
      </x:c>
      <x:c r="P11" s="4" t="e">
        <x:f>HYPERLINK("https://booking.elal.com/manage/login","ניהול הזמנה")</x:f>
        <x:v>HYPERLINK is not implemented. linkLocation=https://booking.elal.com/manage/login, friendlyName=ניהול הזמנה</x:v>
      </x:c>
      <x:c r="Q11" s="4"/>
    </x:row>
    <x:row r="12" ht="60" customHeight="1">
      <x:c r="A12" s="4" t="str">
        <x:v>אודליה</x:v>
      </x:c>
      <x:c r="B12" s="4" t="str">
        <x:v>בוקרשט (עבר)</x:v>
      </x:c>
      <x:c r="C12" s="4" t="str">
        <x:v>EL AL LY574</x:v>
      </x:c>
      <x:c r="D12" s="5" t="d">
        <x:v>2026-09-20T00:00:00.000Z</x:v>
      </x:c>
      <x:c r="E12" s="4" t="str">
        <x:v>בוקרשט</x:v>
      </x:c>
      <x:c r="F12" s="4" t="str">
        <x:v>10:15:00</x:v>
      </x:c>
      <x:c r="G12" s="5" t="d">
        <x:v>2026-09-20T00:00:00.000Z</x:v>
      </x:c>
      <x:c r="H12" s="4" t="str">
        <x:v>תל אביב</x:v>
      </x:c>
      <x:c r="I12" s="4" t="str">
        <x:v>12:45:00</x:v>
      </x:c>
      <x:c r="J12" s="4" t="str">
        <x:v>Business (J)</x:v>
      </x:c>
      <x:c r="K12" s="4" t="str">
        <x:v>2C</x:v>
      </x:c>
      <x:c r="L12" s="4" t="str">
        <x:v>2PC</x:v>
      </x:c>
      <x:c r="M12" s="4" t="str">
        <x:v>XE586U</x:v>
      </x:c>
      <x:c r="N12" s="10"/>
      <x:c r="O12" s="10" t="str">
        <x:v>נסיעה שכבר התקיימה לפי המקור</x:v>
      </x:c>
      <x:c r="P12" s="4" t="e">
        <x:f>HYPERLINK("https://booking.elal.com/manage/login","ניהול הזמנה")</x:f>
        <x:v>HYPERLINK is not implemented. linkLocation=https://booking.elal.com/manage/login, friendlyName=ניהול הזמנה</x:v>
      </x:c>
      <x:c r="Q12" s="4"/>
    </x:row>
    <x:row r="13" ht="60" customHeight="1">
      <x:c r="A13" s="4" t="str">
        <x:v>אודליה</x:v>
      </x:c>
      <x:c r="B13" s="4" t="str">
        <x:v>דובאי</x:v>
      </x:c>
      <x:c r="C13" s="4" t="str">
        <x:v>EL AL LY971</x:v>
      </x:c>
      <x:c r="D13" s="5" t="d">
        <x:v>2026-11-19T00:00:00.000Z</x:v>
      </x:c>
      <x:c r="E13" s="4" t="str">
        <x:v>תל אביב</x:v>
      </x:c>
      <x:c r="F13" s="4" t="str">
        <x:v>06:20:00</x:v>
      </x:c>
      <x:c r="G13" s="5" t="d">
        <x:v>2026-11-19T00:00:00.000Z</x:v>
      </x:c>
      <x:c r="H13" s="4" t="str">
        <x:v>דובאי</x:v>
      </x:c>
      <x:c r="I13" s="4" t="str">
        <x:v>11:35:00</x:v>
      </x:c>
      <x:c r="J13" s="4" t="str">
        <x:v>Business (Z)</x:v>
      </x:c>
      <x:c r="K13" s="4" t="str">
        <x:v>2C</x:v>
      </x:c>
      <x:c r="L13" s="4" t="str">
        <x:v>2PC</x:v>
      </x:c>
      <x:c r="M13" s="4" t="str">
        <x:v>ZKJIXH</x:v>
      </x:c>
      <x:c r="N13" s="10" t="str">
        <x:v>VGML אושרה לפי המקור</x:v>
      </x:c>
      <x:c r="O13" s="10" t="str">
        <x:v>תל אביב טרמינל 3; דובאי טרמינל 1; Confirmed במקור</x:v>
      </x:c>
      <x:c r="P13" s="4" t="e">
        <x:f>HYPERLINK("https://booking.elal.com/manage/login","ניהול הזמנה")</x:f>
        <x:v>HYPERLINK is not implemented. linkLocation=https://booking.elal.com/manage/login, friendlyName=ניהול הזמנה</x:v>
      </x:c>
      <x:c r="Q13" s="4"/>
    </x:row>
    <x:row r="14" ht="60" customHeight="1">
      <x:c r="A14" s="4" t="str">
        <x:v>אודליה</x:v>
      </x:c>
      <x:c r="B14" s="4" t="str">
        <x:v>דובאי</x:v>
      </x:c>
      <x:c r="C14" s="4" t="str">
        <x:v>EL AL LY972</x:v>
      </x:c>
      <x:c r="D14" s="5" t="d">
        <x:v>2026-11-22T00:00:00.000Z</x:v>
      </x:c>
      <x:c r="E14" s="4" t="str">
        <x:v>דובאי</x:v>
      </x:c>
      <x:c r="F14" s="4" t="str">
        <x:v>13:00:00</x:v>
      </x:c>
      <x:c r="G14" s="5" t="d">
        <x:v>2026-11-22T00:00:00.000Z</x:v>
      </x:c>
      <x:c r="H14" s="4" t="str">
        <x:v>תל אביב</x:v>
      </x:c>
      <x:c r="I14" s="4" t="str">
        <x:v>14:40:00</x:v>
      </x:c>
      <x:c r="J14" s="4" t="str">
        <x:v>Business (I)</x:v>
      </x:c>
      <x:c r="K14" s="4"/>
      <x:c r="L14" s="4"/>
      <x:c r="M14" s="4" t="str">
        <x:v>ZKJIXH</x:v>
      </x:c>
      <x:c r="N14" s="10" t="str">
        <x:v>יש לוודא שה-VGML הועברה לטיסה זו</x:v>
      </x:c>
      <x:c r="O14" s="10" t="str">
        <x:v>החליפה את LY974 ב-20:45; Confirmed במקור</x:v>
      </x:c>
      <x:c r="P14" s="4" t="e">
        <x:f>HYPERLINK("https://booking.elal.com/manage/login","ניהול הזמנה")</x:f>
        <x:v>HYPERLINK is not implemented. linkLocation=https://booking.elal.com/manage/login, friendlyName=ניהול הזמנה</x:v>
      </x:c>
      <x:c r="Q14" s="4"/>
    </x:row>
    <x:row r="15" ht="60" customHeight="1">
      <x:c r="A15" s="4" t="str">
        <x:v>שירה</x:v>
      </x:c>
      <x:c r="B15" s="4" t="str">
        <x:v>תאילנד - כיוון אחד</x:v>
      </x:c>
      <x:c r="C15" s="4" t="str">
        <x:v>EL AL LY081</x:v>
      </x:c>
      <x:c r="D15" s="5" t="d">
        <x:v>2026-11-22T00:00:00.000Z</x:v>
      </x:c>
      <x:c r="E15" s="4" t="str">
        <x:v>תל אביב</x:v>
      </x:c>
      <x:c r="F15" s="4" t="str">
        <x:v>22:40:00</x:v>
      </x:c>
      <x:c r="G15" s="5" t="d">
        <x:v>2026-11-23T00:00:00.000Z</x:v>
      </x:c>
      <x:c r="H15" s="4" t="str">
        <x:v>בנגקוק</x:v>
      </x:c>
      <x:c r="I15" s="4" t="str">
        <x:v>14:50:00</x:v>
      </x:c>
      <x:c r="J15" s="4"/>
      <x:c r="K15" s="4" t="str">
        <x:v>32H</x:v>
      </x:c>
      <x:c r="L15" s="4" t="str">
        <x:v>2 מזוודות בהזמנה</x:v>
      </x:c>
      <x:c r="M15" s="4" t="str">
        <x:v>XNZL7P</x:v>
      </x:c>
      <x:c r="N15" s="10" t="str">
        <x:v>לא מאומתת</x:v>
      </x:c>
      <x:c r="O15" s="10" t="str">
        <x:v>נחיתה ביום הבא; המקור מציין 2 נוסעים בהזמנה ושירה 2/2; לא תועדה טיסת חזור</x:v>
      </x:c>
      <x:c r="P15" s="4" t="e">
        <x:f>HYPERLINK("https://booking.elal.com/manage/login","ניהול הזמנה")</x:f>
        <x:v>HYPERLINK is not implemented. linkLocation=https://booking.elal.com/manage/login, friendlyName=ניהול הזמנה</x:v>
      </x:c>
      <x:c r="Q15" s="4"/>
    </x:row>
  </x:sheetData>
  <x:pageMargins left="0.7" right="0.7" top="0.75" bottom="0.75" header="0.3" footer="0.3"/>
  <x:tableParts count="1">
    <x:tablePart xmlns:r="http://schemas.openxmlformats.org/officeDocument/2006/relationships" r:id="R54644986c1bf400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70" hidden="0" customWidth="1"/>
  </x:cols>
  <x:sheetData>
    <x:row r="1" ht="48" customHeight="1">
      <x:c r="A1" s="8" t="str">
        <x:v>מקור / בדיקה</x:v>
      </x:c>
      <x:c r="B1" s="8" t="str">
        <x:v>פרטים</x:v>
      </x:c>
      <x:c r="C1" s="8"/>
    </x:row>
    <x:row r="2" ht="48" customHeight="1">
      <x:c r="A2" s="4" t="str">
        <x:v>גיליון הטיסות</x:v>
      </x:c>
      <x:c r="B2" s="10" t="str">
        <x:v>https://docs.google.com/spreadsheets/d/1MY5bKO5o69hWSdqrAtM3iuK77mk-UCiXY4rBOzWqQbY/edit</x:v>
      </x:c>
      <x:c r="C2" s="4"/>
    </x:row>
    <x:row r="3" ht="48" customHeight="1">
      <x:c r="A3" s="4" t="str">
        <x:v>מקור הנתונים</x:v>
      </x:c>
      <x:c r="B3" s="10" t="str">
        <x:v>תיק נסיעות מ-4.10.2026; הגיליון הוכן 13.10.2026</x:v>
      </x:c>
      <x:c r="C3" s="4"/>
    </x:row>
    <x:row r="4" ht="48" customHeight="1">
      <x:c r="A4" s="4" t="str">
        <x:v>בדיקה נוכחית</x:v>
      </x:c>
      <x:c r="B4" s="10" t="str">
        <x:v>13.10.2026: גיליון, יומן וחיפוש ממוקד במייל asafalex@gmail.com; לא בדיקה מול חברות או ספקים</x:v>
      </x:c>
      <x:c r="C4" s="4"/>
    </x:row>
    <x:row r="5" ht="48" customHeight="1">
      <x:c r="A5" s="4" t="str">
        <x:v>משמעות המצבים</x:v>
      </x:c>
      <x:c r="B5" s="10" t="str">
        <x:v>אושר במסמך: נמצא אישור; מתועד: מקור או יומן בלבד; חלקי: כיסוי חלקי; לא נמצא אישור: דורש בירור</x:v>
      </x:c>
      <x:c r="C5" s="4"/>
    </x:row>
    <x:row r="6" ht="48" customHeight="1">
      <x:c r="A6" s="4" t="str">
        <x:v>ארוחות</x:v>
      </x:c>
      <x:c r="B6" s="10" t="str">
        <x:v>כולל ארוחות טיסה, ארוחת בוקר במלון והזמנות למסעדות; לא הוסק כיסוי ממחלקת הטיסה</x:v>
      </x:c>
      <x:c r="C6" s="4"/>
    </x:row>
    <x:row r="7" ht="48" customHeight="1">
      <x:c r="A7" s="4" t="str">
        <x:v>כנס ואירועים</x:v>
      </x:c>
      <x:c r="B7" s="10" t="str">
        <x:v>אירוע ביומן אינו הוכחה שיש כרטיס; לא נדרש ייבחר רק לאחר בירור</x:v>
      </x:c>
      <x:c r="C7" s="4"/>
    </x:row>
    <x:row r="8" ht="48" customHeight="1">
      <x:c r="A8" s="4" t="str">
        <x:v>קישורי ניהול</x:v>
      </x:c>
      <x:c r="B8" s="10" t="str">
        <x:v>קישורים רשמיים כלליים; להזין קוד הזמנה ושם כפי שמופיעים בכרטיס. הזמנות codeshare עשויות לדרוש קוד מפעיל</x:v>
      </x:c>
      <x:c r="C8" s="4"/>
    </x:row>
    <x:row r="9" ht="28" customHeight="1">
      <x:c r="A9" s="4"/>
      <x:c r="B9" s="4"/>
      <x:c r="C9" s="4"/>
    </x:row>
    <x:row r="10" ht="28" customHeight="1">
      <x:c r="A10" s="4" t="str">
        <x:v>אירוע ביומן</x:v>
      </x:c>
      <x:c r="B10" s="4" t="str">
        <x:v>תחילה (UTC)</x:v>
      </x:c>
      <x:c r="C10" s="4" t="str">
        <x:v>קישור</x:v>
      </x:c>
    </x:row>
    <x:row r="11" ht="28" customHeight="1">
      <x:c r="A11" s="4" t="str">
        <x:v>⚠️ רומא: Check-in טיסה + ביטוח נסיעות</x:v>
      </x:c>
      <x:c r="B11" s="4" t="str"/>
      <x:c r="C11" s="4" t="str">
        <x:v>https://www.google.com/calendar/event?eid=bDJiNjFoM2VxYjYzYTk3amt2cWc4OThyOW8gYXNhZmFsZXhhaUBt</x:v>
      </x:c>
    </x:row>
    <x:row r="12" ht="28" customHeight="1">
      <x:c r="A12" s="4" t="str">
        <x:v>🎟️ SiGMA World 2026 Rome</x:v>
      </x:c>
      <x:c r="B12" s="4" t="str"/>
      <x:c r="C12" s="4" t="str">
        <x:v>https://www.google.com/calendar/event?eid=bmhwcTMwbWZrbnJyMzQ0Nmg3anNmbXJha2MgYXNhZmFsZXhhaUBt</x:v>
      </x:c>
    </x:row>
    <x:row r="13" ht="28" customHeight="1">
      <x:c r="A13" s="4" t="str">
        <x:v>🏨 UNA Esperienze Trastevere Roma (אסף)</x:v>
      </x:c>
      <x:c r="B13" s="4" t="d">
        <x:v>2026-11-02T13:00:00.000Z</x:v>
      </x:c>
      <x:c r="C13" s="4" t="str">
        <x:v>https://www.google.com/calendar/event?eid=MDlrNnFmYWxzODQzMjdoanVsOWhodGZxaGsgYXNhZmFsZXhhaUBt</x:v>
      </x:c>
    </x:row>
    <x:row r="14" ht="28" customHeight="1">
      <x:c r="A14" s="4" t="str">
        <x:v>✈️ LY383 TLV→רומא FCO (אסף)</x:v>
      </x:c>
      <x:c r="B14" s="4" t="d">
        <x:v>2026-11-02T16:15:00.000Z</x:v>
      </x:c>
      <x:c r="C14" s="4" t="str">
        <x:v>https://www.google.com/calendar/event?eid=bnNla2t0Z25yY3VlcG5jb3UyOWxydXZqdmcgYXNhZmFsZXhhaUBt</x:v>
      </x:c>
    </x:row>
    <x:row r="15" ht="28" customHeight="1">
      <x:c r="A15" s="4" t="str">
        <x:v>🏨 Trilussa Palace Wellness &amp; Spa רומא (אסף)</x:v>
      </x:c>
      <x:c r="B15" s="4" t="d">
        <x:v>2026-11-05T13:00:00.000Z</x:v>
      </x:c>
      <x:c r="C15" s="4" t="str">
        <x:v>https://www.google.com/calendar/event?eid=YnFrOHBmNzJ0Z3NzamU3OXQyaDgwNGR2NzggYXNhZmFsZXhhaUBt</x:v>
      </x:c>
    </x:row>
    <x:row r="16" ht="28" customHeight="1">
      <x:c r="A16" s="4" t="str">
        <x:v>✈️ LY384 רומא FCO→TLV (אסף)</x:v>
      </x:c>
      <x:c r="B16" s="4" t="d">
        <x:v>2026-11-07T20:55:00.000Z</x:v>
      </x:c>
      <x:c r="C16" s="4" t="str">
        <x:v>https://www.google.com/calendar/event?eid=MXZibDhtZTFsM2lvOWprcTQzOHNyaWhxbG8gYXNhZmFsZXhhaUBt</x:v>
      </x:c>
    </x:row>
    <x:row r="17" ht="28" customHeight="1">
      <x:c r="A17" s="4" t="str">
        <x:v>MEGACAMPUS Dubai - Industry Campuses / Networking</x:v>
      </x:c>
      <x:c r="B17" s="4" t="str"/>
      <x:c r="C17" s="4" t="str">
        <x:v>https://www.google.com/calendar/event?eid=MHZua2ZpODM1cHJjcG5jaW5zdWVxb2gydW8gYXNhZmFsZXhhaUBt</x:v>
      </x:c>
    </x:row>
    <x:row r="18" ht="28" customHeight="1">
      <x:c r="A18" s="4" t="str">
        <x:v>⚠️ דובאי (אודליה): Check-in + ביטוח</x:v>
      </x:c>
      <x:c r="B18" s="4" t="str"/>
      <x:c r="C18" s="4" t="str">
        <x:v>https://www.google.com/calendar/event?eid=OTk0OHBob2k2djhpaXQ5OXFvcTZqbWp2Nm8gYXNhZmFsZXhhaUBt</x:v>
      </x:c>
    </x:row>
    <x:row r="19" ht="28" customHeight="1">
      <x:c r="A19" s="4" t="str">
        <x:v>✈️ LY971 TLV→DXB (אודליה)</x:v>
      </x:c>
      <x:c r="B19" s="4" t="d">
        <x:v>2026-11-19T04:20:00.000Z</x:v>
      </x:c>
      <x:c r="C19" s="4" t="str">
        <x:v>https://www.google.com/calendar/event?eid=Y2l0YmV1czFybGVlc3FrcWgyYnNlYTBhZTggYXNhZmFsZXhhaUBt</x:v>
      </x:c>
    </x:row>
    <x:row r="20" ht="28" customHeight="1">
      <x:c r="A20" s="4" t="str">
        <x:v>🚐 הסעת הגעה Rimo Tours DXB→Rove (אודליה)</x:v>
      </x:c>
      <x:c r="B20" s="4" t="d">
        <x:v>2026-11-19T07:35:00.000Z</x:v>
      </x:c>
      <x:c r="C20" s="4" t="str">
        <x:v>https://www.google.com/calendar/event?eid=OGNqdmZhNGFqcjByM2k2bzBvOGM5aHNsdGMgYXNhZmFsZXhhaUBt</x:v>
      </x:c>
    </x:row>
    <x:row r="21" ht="28" customHeight="1">
      <x:c r="A21" s="4" t="str">
        <x:v>🏨 Rove City Walk דובאי (אודליה)</x:v>
      </x:c>
      <x:c r="B21" s="4" t="d">
        <x:v>2026-11-19T12:00:00.000Z</x:v>
      </x:c>
      <x:c r="C21" s="4" t="str">
        <x:v>https://www.google.com/calendar/event?eid=ODJhZmY1c2d1ZzJ1NThlNTVqMWJtZmc1azAgYXNhZmFsZXhhaUBt</x:v>
      </x:c>
    </x:row>
    <x:row r="22" ht="28" customHeight="1">
      <x:c r="A22" s="4" t="str">
        <x:v>🎟️ MEGACAMPUS Dubai - יום 1</x:v>
      </x:c>
      <x:c r="B22" s="4" t="d">
        <x:v>2026-11-20T06:00:00.000Z</x:v>
      </x:c>
      <x:c r="C22" s="4" t="str">
        <x:v>https://www.google.com/calendar/event?eid=cTV1cXJzdDB0bW82ZjloNXJhdnF2NmRlY2sgYXNhZmFsZXhhaUBt</x:v>
      </x:c>
    </x:row>
    <x:row r="23" ht="28" customHeight="1">
      <x:c r="A23" s="4" t="str">
        <x:v>⚠️ תאילנד (שירה): Check-in + ביטוח</x:v>
      </x:c>
      <x:c r="B23" s="4" t="str"/>
      <x:c r="C23" s="4" t="str">
        <x:v>https://www.google.com/calendar/event?eid=bzgwMmVhdnVnNjdqbjJkZ211b3ZqajBtNzQgYXNhZmFsZXhhaUBt</x:v>
      </x:c>
    </x:row>
    <x:row r="24" ht="28" customHeight="1">
      <x:c r="A24" s="4" t="str">
        <x:v>🎟️ MEGACAMPUS Dubai - יום 2</x:v>
      </x:c>
      <x:c r="B24" s="4" t="d">
        <x:v>2026-11-21T06:00:00.000Z</x:v>
      </x:c>
      <x:c r="C24" s="4" t="str">
        <x:v>https://www.google.com/calendar/event?eid=bjNrc2oxb2xtcm1lODR2OGU5aTJpaGNtbm8gYXNhZmFsZXhhaUBt</x:v>
      </x:c>
    </x:row>
    <x:row r="25" ht="28" customHeight="1">
      <x:c r="A25" s="4" t="str">
        <x:v>✈️ LY972 DXB→TLV (אודליה)</x:v>
      </x:c>
      <x:c r="B25" s="4" t="d">
        <x:v>2026-11-22T09:00:00.000Z</x:v>
      </x:c>
      <x:c r="C25" s="4" t="str">
        <x:v>https://www.google.com/calendar/event?eid=Z2g0NGVucGkwYTExZWQ4bTU1aTRrNjYzZG8gYXNhZmFsZXhhaUBt</x:v>
      </x:c>
    </x:row>
    <x:row r="26" ht="28" customHeight="1">
      <x:c r="A26" s="4" t="str">
        <x:v>✈️ LY081 TLV→בנגקוק (שירה)</x:v>
      </x:c>
      <x:c r="B26" s="4" t="d">
        <x:v>2026-11-22T20:40:00.000Z</x:v>
      </x:c>
      <x:c r="C26" s="4" t="str">
        <x:v>https://www.google.com/calendar/event?eid=ZXV2aGdpYW1xY2hvdWd1a2FqMWw1M3Z2NXMgYXNhZmFsZXhhaUBt</x:v>
      </x:c>
    </x:row>
    <x:row r="27" ht="28" customHeight="1">
      <x:c r="A27" s="4" t="str">
        <x:v>⚠️ תאילנד+יפן: Check-in + ביטוח</x:v>
      </x:c>
      <x:c r="B27" s="4" t="str"/>
      <x:c r="C27" s="4" t="str">
        <x:v>https://www.google.com/calendar/event?eid=cDFicGQxbmlocDBicnNpbG05a2R2OXNmMTggYXNhZmFsZXhhaUBt</x:v>
      </x:c>
    </x:row>
    <x:row r="28" ht="28" customHeight="1">
      <x:c r="A28" s="4" t="str">
        <x:v>✈️ TLV→DXB EK2449/FZ1082 (אסף)</x:v>
      </x:c>
      <x:c r="B28" s="4" t="d">
        <x:v>2026-12-07T13:10:00.000Z</x:v>
      </x:c>
      <x:c r="C28" s="4" t="str">
        <x:v>https://www.google.com/calendar/event?eid=MW1rb2ZoMjIzbG82M2FudGYydjdrMDQ2aDQgYXNhZmFsZXhhaUBt</x:v>
      </x:c>
    </x:row>
    <x:row r="29" ht="28" customHeight="1">
      <x:c r="A29" s="4" t="str">
        <x:v>✈️ DXB→BKK EK374 (אסף)</x:v>
      </x:c>
      <x:c r="B29" s="4" t="d">
        <x:v>2026-12-07T18:35:00.000Z</x:v>
      </x:c>
      <x:c r="C29" s="4" t="str">
        <x:v>https://www.google.com/calendar/event?eid=MDJwMXU2cWFiNzQyOGphazE1MDg2czlzYjggYXNhZmFsZXhhaUBt</x:v>
      </x:c>
    </x:row>
    <x:row r="30" ht="28" customHeight="1">
      <x:c r="A30" s="4" t="str">
        <x:v>🏨 Chatrium Grand Bangkok (אסף)</x:v>
      </x:c>
      <x:c r="B30" s="4" t="str"/>
      <x:c r="C30" s="4" t="str">
        <x:v>https://www.google.com/calendar/event?eid=dDgyZmQ4Y3NucGhqbDNja2Jsa3AxZjdlYjAgYXNhZmFsZXhhaUBt</x:v>
      </x:c>
    </x:row>
    <x:row r="31" ht="28" customHeight="1">
      <x:c r="A31" s="4" t="str">
        <x:v>🎟️ Affiliate World Asia 2026</x:v>
      </x:c>
      <x:c r="B31" s="4" t="str"/>
      <x:c r="C31" s="4" t="str">
        <x:v>https://www.google.com/calendar/event?eid=YjBldm9sMzRlYXVrY2Uwczk3NmQxb2E2OTAgYXNhZmFsZXhhaUBt</x:v>
      </x:c>
    </x:row>
    <x:row r="32" ht="28" customHeight="1">
      <x:c r="A32" s="4" t="str">
        <x:v>🏨 HT9 Hotel פטאיה (שירה)</x:v>
      </x:c>
      <x:c r="B32" s="4" t="d">
        <x:v>2026-12-09T07:00:00.000Z</x:v>
      </x:c>
      <x:c r="C32" s="4" t="str">
        <x:v>https://www.google.com/calendar/event?eid=YnR1dmVtYXR1YnBhaDhwazE0dWhuYnF2M2MgYXNhZmFsZXhhaUBt</x:v>
      </x:c>
    </x:row>
    <x:row r="33" ht="28" customHeight="1">
      <x:c r="A33" s="4" t="str">
        <x:v>🎟️ Tomorrowland Thailand 2026</x:v>
      </x:c>
      <x:c r="B33" s="4" t="str"/>
      <x:c r="C33" s="4" t="str">
        <x:v>https://www.google.com/calendar/event?eid=MzJqbTd2ZW9oZWMzbGNmcHE3ZzRjMDBqcDQgYXNhZmFsZXhhaUBt</x:v>
      </x:c>
    </x:row>
    <x:row r="34" ht="28" customHeight="1">
      <x:c r="A34" s="4" t="str">
        <x:v>🏨 Eastiny Resort &amp; Spa פטאיה (אסף)</x:v>
      </x:c>
      <x:c r="B34" s="4" t="str"/>
      <x:c r="C34" s="4" t="str">
        <x:v>https://www.google.com/calendar/event?eid=azk5YTliaGJlcjF0aHNtaTlmZzQzYjI2M2sgYXNhZmFsZXhhaUBt</x:v>
      </x:c>
    </x:row>
    <x:row r="35" ht="28" customHeight="1">
      <x:c r="A35" s="4" t="str">
        <x:v>✈️ TG682 BKK→טוקיו HND (אסף)</x:v>
      </x:c>
      <x:c r="B35" s="4" t="d">
        <x:v>2026-12-13T16:15:00.000Z</x:v>
      </x:c>
      <x:c r="C35" s="4" t="str">
        <x:v>https://www.google.com/calendar/event?eid=dG1iZnVvajNvODV1dHEyZ3U2dDljN2dsdjAgYXNhZmFsZXhhaUBt</x:v>
      </x:c>
    </x:row>
    <x:row r="36" ht="28" customHeight="1">
      <x:c r="A36" s="4" t="str">
        <x:v>🏨 Hotel Grand Bach Tokyo Ginza (אסף)</x:v>
      </x:c>
      <x:c r="B36" s="4" t="d">
        <x:v>2026-12-14T06:00:00.000Z</x:v>
      </x:c>
      <x:c r="C36" s="4" t="str">
        <x:v>https://www.google.com/calendar/event?eid=amM1aGdpdHI5bmVvdGpqYmpraGt0ZGQ0azggYXNhZmFsZXhhaUBt</x:v>
      </x:c>
    </x:row>
    <x:row r="37" ht="28" customHeight="1">
      <x:c r="A37" s="4" t="str">
        <x:v>✈️ EK313 טוקיו HND→DXB (אסף)</x:v>
      </x:c>
      <x:c r="B37" s="4" t="d">
        <x:v>2026-12-24T15:05:00.000Z</x:v>
      </x:c>
      <x:c r="C37" s="4" t="str">
        <x:v>https://www.google.com/calendar/event?eid=cTRqM3E4Yjhub3YwZ25rNDgwdDJjcmF1amcgYXNhZmFsZXhhaUBt</x:v>
      </x:c>
    </x:row>
    <x:row r="38" ht="28" customHeight="1">
      <x:c r="A38" s="4" t="str">
        <x:v>✈️ DXB→TLV EK2363/FZ1211 (אסף)</x:v>
      </x:c>
      <x:c r="B38" s="4" t="d">
        <x:v>2026-12-25T05:55:00.000Z</x:v>
      </x:c>
      <x:c r="C38" s="4" t="str">
        <x:v>https://www.google.com/calendar/event?eid=cjlwMDVxaG4zY3VjbHE1YzNyMnRjZmRibmcgYXNhZmFsZXhhaUBt</x:v>
      </x:c>
    </x:row>
    <x:row r="39" ht="28" customHeight="1">
      <x:c r="A39" s="4" t="str">
        <x:v>⚠️ פראג: Check-in + ביטוח</x:v>
      </x:c>
      <x:c r="B39" s="4" t="str"/>
      <x:c r="C39" s="4" t="str">
        <x:v>https://www.google.com/calendar/event?eid=MXBjZmJyOW9lcWQ0dTRjZzQ2OWJlZmU0NjggYXNhZmFsZXhhaUBt</x:v>
      </x:c>
    </x:row>
    <x:row r="40" ht="28" customHeight="1">
      <x:c r="A40" s="4" t="str">
        <x:v>🏨 Hotel KINGS COURT פראג</x:v>
      </x:c>
      <x:c r="B40" s="4" t="str"/>
      <x:c r="C40" s="4" t="str">
        <x:v>https://www.google.com/calendar/event?eid=Z2MxMWNjdmRnYXVhdXJnN3A5bHE0amZpbjAgYXNhZmFsZXhhaUBt</x:v>
      </x:c>
    </x:row>
    <x:row r="41" ht="28" customHeight="1">
      <x:c r="A41" s="4" t="str">
        <x:v>✈️ LY2521 TLV→פראג (אסף+אודליה)</x:v>
      </x:c>
      <x:c r="B41" s="4" t="d">
        <x:v>2027-03-18T05:25:00.000Z</x:v>
      </x:c>
      <x:c r="C41" s="4" t="str">
        <x:v>https://www.google.com/calendar/event?eid=bXNtbW4zYTl2NTRmZ2NiNDNhdG90N3Q5aWsgYXNhZmFsZXhhaUBt</x:v>
      </x:c>
    </x:row>
    <x:row r="42" ht="28" customHeight="1">
      <x:c r="A42" s="4" t="str">
        <x:v>🎤 Teddy Swims - The Ugly Tour</x:v>
      </x:c>
      <x:c r="B42" s="4" t="d">
        <x:v>2027-03-20T19:00:00.000Z</x:v>
      </x:c>
      <x:c r="C42" s="4" t="str">
        <x:v>https://www.google.com/calendar/event?eid=MW44anI0bzR0Zzl0M2JyZWdhZjhybDFnYmcgYXNhZmFsZXhhaUBt</x:v>
      </x:c>
    </x:row>
    <x:row r="43" ht="28" customHeight="1">
      <x:c r="A43" s="4" t="str">
        <x:v>✈️ LY2522 פראג→TLV (אסף+אודליה)</x:v>
      </x:c>
      <x:c r="B43" s="4" t="d">
        <x:v>2027-03-21T10:40:00.000Z</x:v>
      </x:c>
      <x:c r="C43" s="4" t="str">
        <x:v>https://www.google.com/calendar/event?eid=cHV1OHRlZzRuZDRqZDIwNGo3ZThtZmhhYWMgYXNhZmFsZXhhaUBt</x:v>
      </x:c>
    </x:row>
  </x:sheetData>
  <x:pageMargins left="0.7" right="0.7" top="0.75" bottom="0.75" header="0.3" footer="0.3"/>
</x:worksheet>
</file>